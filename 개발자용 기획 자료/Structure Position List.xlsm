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658f17427b35de9/바탕 화면/게임기획/Magical Subway/data/"/>
    </mc:Choice>
  </mc:AlternateContent>
  <xr:revisionPtr revIDLastSave="620" documentId="8_{64C58152-641F-40FD-9CA5-A31BC9427B3E}" xr6:coauthVersionLast="47" xr6:coauthVersionMax="47" xr10:uidLastSave="{CA579B5B-8CAD-4E7A-B54E-5BA9D4286F2B}"/>
  <bookViews>
    <workbookView xWindow="14295" yWindow="0" windowWidth="14610" windowHeight="15585" tabRatio="812" firstSheet="1" activeTab="1" xr2:uid="{9B8355F7-27FF-4F5A-B03A-6875FAA82859}"/>
  </bookViews>
  <sheets>
    <sheet name="StructureSizeList" sheetId="24" r:id="rId1"/>
    <sheet name="stage1_StructurePosLis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0" i="1" l="1"/>
  <c r="C59" i="1"/>
  <c r="B59" i="1"/>
  <c r="C58" i="1"/>
  <c r="B58" i="1"/>
  <c r="C9" i="1"/>
  <c r="B9" i="1"/>
  <c r="C47" i="1"/>
  <c r="B47" i="1"/>
  <c r="C48" i="1"/>
  <c r="C52" i="1"/>
  <c r="B52" i="1"/>
  <c r="C44" i="1"/>
  <c r="B44" i="1"/>
  <c r="C45" i="1"/>
  <c r="B45" i="1"/>
  <c r="C46" i="1"/>
  <c r="B46" i="1"/>
  <c r="C50" i="1"/>
  <c r="B50" i="1"/>
  <c r="B48" i="1"/>
  <c r="B42" i="1"/>
  <c r="C42" i="1"/>
  <c r="C36" i="1"/>
  <c r="B36" i="1"/>
  <c r="C33" i="1"/>
  <c r="B33" i="1"/>
  <c r="C28" i="1"/>
  <c r="C31" i="1"/>
  <c r="C30" i="1"/>
  <c r="B30" i="1"/>
  <c r="B32" i="1"/>
  <c r="C32" i="1"/>
  <c r="C34" i="1"/>
  <c r="B34" i="1"/>
  <c r="C20" i="1"/>
  <c r="C25" i="1"/>
  <c r="C24" i="1"/>
  <c r="C23" i="1"/>
  <c r="B23" i="1"/>
  <c r="C22" i="1"/>
  <c r="B22" i="1"/>
  <c r="C14" i="1"/>
  <c r="B14" i="1"/>
  <c r="C11" i="1"/>
  <c r="B11" i="1"/>
  <c r="C10" i="1"/>
  <c r="B10" i="1"/>
  <c r="C12" i="1"/>
  <c r="B12" i="1"/>
  <c r="C13" i="1"/>
  <c r="B13" i="1"/>
</calcChain>
</file>

<file path=xl/sharedStrings.xml><?xml version="1.0" encoding="utf-8"?>
<sst xmlns="http://schemas.openxmlformats.org/spreadsheetml/2006/main" count="141" uniqueCount="40">
  <si>
    <t>spawnXpos</t>
    <phoneticPr fontId="1" type="noConversion"/>
  </si>
  <si>
    <t>spawnYpos</t>
    <phoneticPr fontId="1" type="noConversion"/>
  </si>
  <si>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</si>
  <si>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</si>
  <si>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</si>
  <si>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</si>
  <si>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</si>
  <si>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</si>
  <si>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</si>
  <si>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</si>
  <si>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</si>
  <si>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</si>
  <si>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BreakingDestructibleObject</t>
  </si>
  <si>
    <t>Wall</t>
  </si>
  <si>
    <t>BreakingWall</t>
  </si>
  <si>
    <t>LockedDoor</t>
    <phoneticPr fontId="1" type="noConversion"/>
  </si>
  <si>
    <t>UnlockedDoor</t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</si>
  <si>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</si>
  <si>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</si>
  <si>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</si>
  <si>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</si>
  <si>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</si>
  <si>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</si>
  <si>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</si>
  <si>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</si>
  <si>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</si>
  <si>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</si>
  <si>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</si>
  <si>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</si>
  <si>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stage1</t>
    <phoneticPr fontId="1" type="noConversion"/>
  </si>
  <si>
    <t>stage2</t>
    <phoneticPr fontId="1" type="noConversion"/>
  </si>
  <si>
    <t>WallShort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</si>
  <si>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</si>
  <si>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</si>
  <si>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</si>
  <si>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WallShot</t>
    <phoneticPr fontId="1" type="noConversion"/>
  </si>
  <si>
    <t>stage3</t>
    <phoneticPr fontId="1" type="noConversion"/>
  </si>
  <si>
    <t>FootHold</t>
    <phoneticPr fontId="1" type="noConversion"/>
  </si>
  <si>
    <t>FinalBossStage</t>
    <phoneticPr fontId="1" type="noConversion"/>
  </si>
  <si>
    <t>Structure Size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</si>
</sst>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0" fillId="3" borderId="4" xfId="0" applyNumberFormat="1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176" fontId="0" fillId="4" borderId="4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176" fontId="0" fillId="7" borderId="4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  <xf numFmtId="176" fontId="0" fillId="10" borderId="4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11" borderId="4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147-D2C2-4E84-BBFC-757B572B112C}">
  <sheetPr codeName="Sheet2"/>
  <dimension ref="A1:J17"/>
  <sheetViews>
    <sheetView zoomScaleNormal="100" workbookViewId="0">
      <selection activeCell="C17" sqref="A1:C17"/>
    </sheetView>
  </sheetViews>
  <sheetFormatPr defaultRowHeight="16.5" x14ac:dyDescent="0.3"/>
  <cols>
    <col min="1" max="1" width="26.5" bestFit="1" customWidth="1"/>
    <col min="2" max="2" width="11.5" style="6" bestFit="1" customWidth="1"/>
    <col min="3" max="3" width="11.375" style="6" bestFit="1" customWidth="1"/>
    <col min="4" max="4" width="25.625" bestFit="1" customWidth="1"/>
    <col min="5" max="5" width="18.75" bestFit="1" customWidth="1"/>
    <col min="6" max="6" width="18.875" style="6" bestFit="1" customWidth="1"/>
    <col min="7" max="8" width="18.625" bestFit="1" customWidth="1"/>
    <col min="9" max="9" width="12.125" bestFit="1" customWidth="1"/>
    <col min="10" max="10" width="16" style="6" bestFit="1" customWidth="1"/>
    <col min="11" max="11" width="16" bestFit="1" customWidth="1"/>
    <col min="12" max="12" width="23.625" bestFit="1" customWidth="1"/>
    <col min="13" max="13" width="9" customWidth="1"/>
  </cols>
  <sheetData>
    <row r="1" spans="1:10" s="1" customFormat="1" x14ac:dyDescent="0.3">
      <c r="A1" s="3" t="s">
        <v>5</v>
      </c>
      <c r="B1" s="3" t="s">
        <v>8</v>
      </c>
      <c r="C1" s="3" t="s">
        <v>9</v>
      </c>
    </row>
    <row r="2" spans="1:10" s="1" customFormat="1" x14ac:dyDescent="0.3">
      <c r="A2" s="3" t="s">
        <v>6</v>
      </c>
      <c r="B2" s="3" t="s">
        <v>10</v>
      </c>
      <c r="C2" s="3" t="s">
        <v>11</v>
      </c>
    </row>
    <row r="3" spans="1:10" s="1" customFormat="1" x14ac:dyDescent="0.3">
      <c r="A3" s="3" t="s">
        <v>7</v>
      </c>
      <c r="B3" s="3" t="s">
        <v>2</v>
      </c>
      <c r="C3" s="3" t="s">
        <v>2</v>
      </c>
    </row>
    <row r="4" spans="1:10" s="1" customFormat="1" x14ac:dyDescent="0.3">
      <c r="A4" s="2" t="s">
        <v>25</v>
      </c>
      <c r="B4" s="4">
        <v>64</v>
      </c>
      <c r="C4" s="4">
        <v>46</v>
      </c>
    </row>
    <row r="5" spans="1:10" x14ac:dyDescent="0.3">
      <c r="A5" s="2" t="s">
        <v>12</v>
      </c>
      <c r="B5" s="4">
        <v>192</v>
      </c>
      <c r="C5" s="4">
        <v>46</v>
      </c>
    </row>
    <row r="6" spans="1:10" x14ac:dyDescent="0.3">
      <c r="A6" s="2" t="s">
        <v>13</v>
      </c>
      <c r="B6" s="4">
        <v>80</v>
      </c>
      <c r="C6" s="4">
        <v>240</v>
      </c>
    </row>
    <row r="7" spans="1:10" x14ac:dyDescent="0.3">
      <c r="A7" s="2" t="s">
        <v>14</v>
      </c>
      <c r="B7" s="4">
        <v>240</v>
      </c>
      <c r="C7" s="4">
        <v>240</v>
      </c>
    </row>
    <row r="8" spans="1:10" s="1" customFormat="1" x14ac:dyDescent="0.3">
      <c r="A8" s="2" t="s">
        <v>15</v>
      </c>
      <c r="B8" s="4">
        <v>80</v>
      </c>
      <c r="C8" s="4">
        <v>240</v>
      </c>
      <c r="F8" s="5"/>
      <c r="J8" s="5"/>
    </row>
    <row r="9" spans="1:10" s="1" customFormat="1" x14ac:dyDescent="0.3">
      <c r="A9" s="2" t="s">
        <v>16</v>
      </c>
      <c r="B9" s="4">
        <v>80</v>
      </c>
      <c r="C9" s="4">
        <v>240</v>
      </c>
      <c r="F9" s="5"/>
      <c r="J9" s="5"/>
    </row>
    <row r="10" spans="1:10" s="1" customFormat="1" x14ac:dyDescent="0.3">
      <c r="A10" s="2" t="s">
        <v>17</v>
      </c>
      <c r="B10" s="4">
        <v>280</v>
      </c>
      <c r="C10" s="4">
        <v>240</v>
      </c>
      <c r="F10" s="5"/>
      <c r="J10" s="5"/>
    </row>
    <row r="11" spans="1:10" s="1" customFormat="1" x14ac:dyDescent="0.3">
      <c r="A11" s="2" t="s">
        <v>23</v>
      </c>
      <c r="B11" s="4"/>
      <c r="C11" s="4"/>
      <c r="F11" s="5"/>
      <c r="J11" s="5"/>
    </row>
    <row r="12" spans="1:10" x14ac:dyDescent="0.3">
      <c r="A12" s="2" t="s">
        <v>19</v>
      </c>
      <c r="B12" s="4"/>
      <c r="C12" s="4"/>
      <c r="D12" s="1"/>
      <c r="E12" s="1"/>
    </row>
    <row r="13" spans="1:10" s="1" customFormat="1" x14ac:dyDescent="0.3">
      <c r="A13" s="2" t="s">
        <v>18</v>
      </c>
      <c r="B13" s="4">
        <v>69</v>
      </c>
      <c r="C13" s="4">
        <v>156</v>
      </c>
      <c r="F13" s="5"/>
      <c r="J13" s="5"/>
    </row>
    <row r="14" spans="1:10" x14ac:dyDescent="0.3">
      <c r="A14" s="2" t="s">
        <v>20</v>
      </c>
      <c r="B14" s="4">
        <v>84</v>
      </c>
      <c r="C14" s="4">
        <v>192</v>
      </c>
    </row>
    <row r="15" spans="1:10" x14ac:dyDescent="0.3">
      <c r="A15" s="2" t="s">
        <v>21</v>
      </c>
      <c r="B15" s="4"/>
      <c r="C15" s="4"/>
    </row>
    <row r="16" spans="1:10" x14ac:dyDescent="0.3">
      <c r="A16" s="2" t="s">
        <v>22</v>
      </c>
      <c r="B16" s="4"/>
      <c r="C16" s="4"/>
    </row>
    <row r="17" spans="1:3" x14ac:dyDescent="0.3">
      <c r="A17" s="2" t="s">
        <v>24</v>
      </c>
      <c r="B17" s="4">
        <v>41</v>
      </c>
      <c r="C17" s="4">
        <v>77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N63"/>
  <sheetViews>
    <sheetView tabSelected="1" topLeftCell="A25" zoomScaleNormal="100" workbookViewId="0">
      <selection activeCell="F44" sqref="F44"/>
    </sheetView>
  </sheetViews>
  <sheetFormatPr defaultRowHeight="16.5" x14ac:dyDescent="0.3"/>
  <cols>
    <col min="1" max="1" width="26.5" bestFit="1" customWidth="1"/>
    <col min="2" max="3" width="11.625" style="6" bestFit="1" customWidth="1"/>
    <col min="4" max="4" width="9.625" style="6" bestFit="1" customWidth="1"/>
    <col min="5" max="5" width="9.625" bestFit="1" customWidth="1"/>
    <col min="6" max="6" width="29" bestFit="1" customWidth="1"/>
    <col min="7" max="8" width="12.375" bestFit="1" customWidth="1"/>
    <col min="9" max="9" width="10.125" style="6" bestFit="1" customWidth="1"/>
    <col min="10" max="10" width="10.125" bestFit="1" customWidth="1"/>
    <col min="11" max="11" width="18.625" bestFit="1" customWidth="1"/>
    <col min="12" max="12" width="12.125" bestFit="1" customWidth="1"/>
    <col min="13" max="13" width="16" style="6" bestFit="1" customWidth="1"/>
    <col min="14" max="14" width="16" bestFit="1" customWidth="1"/>
    <col min="15" max="15" width="23.625" bestFit="1" customWidth="1"/>
    <col min="16" max="16" width="9" customWidth="1"/>
  </cols>
  <sheetData>
    <row r="1" spans="1:13" x14ac:dyDescent="0.3">
      <c r="A1" s="18" t="s">
        <v>29</v>
      </c>
      <c r="B1" s="18"/>
      <c r="C1" s="18"/>
      <c r="F1" s="18" t="s">
        <v>39</v>
      </c>
      <c r="G1" s="18"/>
      <c r="H1" s="18"/>
      <c r="I1" s="18"/>
      <c r="J1" s="18"/>
    </row>
    <row r="2" spans="1:13" s="1" customFormat="1" x14ac:dyDescent="0.3">
      <c r="A2" s="3" t="s">
        <v>5</v>
      </c>
      <c r="B2" s="3" t="s">
        <v>3</v>
      </c>
      <c r="C2" s="3" t="s">
        <v>4</v>
      </c>
      <c r="F2" s="3" t="s">
        <v>5</v>
      </c>
      <c r="G2" s="3" t="s">
        <v>8</v>
      </c>
      <c r="H2" s="3" t="s">
        <v>9</v>
      </c>
      <c r="I2" s="3" t="s">
        <v>27</v>
      </c>
      <c r="J2" s="3" t="s">
        <v>28</v>
      </c>
    </row>
    <row r="3" spans="1:13" s="1" customFormat="1" x14ac:dyDescent="0.3">
      <c r="A3" s="3" t="s">
        <v>6</v>
      </c>
      <c r="B3" s="3" t="s">
        <v>0</v>
      </c>
      <c r="C3" s="3" t="s">
        <v>1</v>
      </c>
      <c r="F3" s="3" t="s">
        <v>6</v>
      </c>
      <c r="G3" s="3" t="s">
        <v>10</v>
      </c>
      <c r="H3" s="3" t="s">
        <v>11</v>
      </c>
      <c r="I3" s="3" t="s">
        <v>10</v>
      </c>
      <c r="J3" s="3" t="s">
        <v>26</v>
      </c>
    </row>
    <row r="4" spans="1:13" s="1" customFormat="1" x14ac:dyDescent="0.3">
      <c r="A4" s="3" t="s">
        <v>7</v>
      </c>
      <c r="B4" s="3" t="s">
        <v>2</v>
      </c>
      <c r="C4" s="3" t="s">
        <v>2</v>
      </c>
      <c r="F4" s="3" t="s">
        <v>7</v>
      </c>
      <c r="G4" s="3" t="s">
        <v>2</v>
      </c>
      <c r="H4" s="3" t="s">
        <v>2</v>
      </c>
      <c r="I4" s="3" t="s">
        <v>2</v>
      </c>
      <c r="J4" s="3" t="s">
        <v>2</v>
      </c>
    </row>
    <row r="5" spans="1:13" s="1" customFormat="1" x14ac:dyDescent="0.3">
      <c r="A5" s="7" t="s">
        <v>15</v>
      </c>
      <c r="B5" s="4">
        <v>1840</v>
      </c>
      <c r="C5" s="4">
        <v>520</v>
      </c>
      <c r="F5" s="8" t="s">
        <v>25</v>
      </c>
      <c r="G5" s="22">
        <v>64</v>
      </c>
      <c r="H5" s="22">
        <v>46</v>
      </c>
      <c r="I5" s="22">
        <v>32</v>
      </c>
      <c r="J5" s="22">
        <v>23</v>
      </c>
    </row>
    <row r="6" spans="1:13" x14ac:dyDescent="0.3">
      <c r="A6" s="7" t="s">
        <v>16</v>
      </c>
      <c r="B6" s="4">
        <v>1840</v>
      </c>
      <c r="C6" s="4">
        <v>520</v>
      </c>
      <c r="F6" s="8" t="s">
        <v>12</v>
      </c>
      <c r="G6" s="23"/>
      <c r="H6" s="23"/>
      <c r="I6" s="23"/>
      <c r="J6" s="23"/>
    </row>
    <row r="7" spans="1:13" x14ac:dyDescent="0.3">
      <c r="A7" s="26" t="s">
        <v>31</v>
      </c>
      <c r="B7" s="4">
        <v>3760</v>
      </c>
      <c r="C7" s="4">
        <v>1040</v>
      </c>
      <c r="F7" s="13" t="s">
        <v>13</v>
      </c>
      <c r="G7" s="24">
        <v>80</v>
      </c>
      <c r="H7" s="24">
        <v>240</v>
      </c>
      <c r="I7" s="24">
        <v>40</v>
      </c>
      <c r="J7" s="24">
        <v>120</v>
      </c>
    </row>
    <row r="8" spans="1:13" x14ac:dyDescent="0.3">
      <c r="A8" s="26" t="s">
        <v>32</v>
      </c>
      <c r="B8" s="4">
        <v>3760</v>
      </c>
      <c r="C8" s="4">
        <v>1040</v>
      </c>
      <c r="F8" s="13" t="s">
        <v>14</v>
      </c>
      <c r="G8" s="25"/>
      <c r="H8" s="25"/>
      <c r="I8" s="25"/>
      <c r="J8" s="25"/>
    </row>
    <row r="9" spans="1:13" x14ac:dyDescent="0.3">
      <c r="A9" s="11" t="s">
        <v>23</v>
      </c>
      <c r="B9" s="4">
        <f>3491+I16</f>
        <v>3493</v>
      </c>
      <c r="C9" s="4">
        <f>958-J16</f>
        <v>659</v>
      </c>
      <c r="F9" s="26" t="s">
        <v>35</v>
      </c>
      <c r="G9" s="27">
        <v>80</v>
      </c>
      <c r="H9" s="27">
        <v>160</v>
      </c>
      <c r="I9" s="27">
        <v>40</v>
      </c>
      <c r="J9" s="27">
        <v>80</v>
      </c>
    </row>
    <row r="10" spans="1:13" s="1" customFormat="1" x14ac:dyDescent="0.3">
      <c r="A10" s="11" t="s">
        <v>19</v>
      </c>
      <c r="B10" s="4">
        <f>3475+I17</f>
        <v>3493</v>
      </c>
      <c r="C10" s="4">
        <f>980-J17</f>
        <v>969</v>
      </c>
      <c r="D10" s="5"/>
      <c r="F10" s="26" t="s">
        <v>32</v>
      </c>
      <c r="G10" s="28"/>
      <c r="H10" s="28"/>
      <c r="I10" s="28"/>
      <c r="J10" s="28"/>
      <c r="M10" s="5"/>
    </row>
    <row r="11" spans="1:13" s="1" customFormat="1" x14ac:dyDescent="0.3">
      <c r="A11" s="11" t="s">
        <v>19</v>
      </c>
      <c r="B11" s="4">
        <f>4502+I17</f>
        <v>4520</v>
      </c>
      <c r="C11" s="4">
        <f>472-J17</f>
        <v>461</v>
      </c>
      <c r="D11" s="5"/>
      <c r="F11" s="29" t="s">
        <v>33</v>
      </c>
      <c r="G11" s="30">
        <v>80</v>
      </c>
      <c r="H11" s="30">
        <v>280</v>
      </c>
      <c r="I11" s="30">
        <v>40</v>
      </c>
      <c r="J11" s="30">
        <v>140</v>
      </c>
      <c r="M11" s="5"/>
    </row>
    <row r="12" spans="1:13" s="1" customFormat="1" x14ac:dyDescent="0.3">
      <c r="A12" s="11" t="s">
        <v>18</v>
      </c>
      <c r="B12" s="4">
        <f>3571+I18</f>
        <v>3605.5</v>
      </c>
      <c r="C12" s="4">
        <f>941-J18</f>
        <v>902</v>
      </c>
      <c r="D12" s="5"/>
      <c r="F12" s="29" t="s">
        <v>34</v>
      </c>
      <c r="G12" s="31"/>
      <c r="H12" s="31"/>
      <c r="I12" s="31"/>
      <c r="J12" s="31"/>
      <c r="M12" s="5"/>
    </row>
    <row r="13" spans="1:13" s="1" customFormat="1" x14ac:dyDescent="0.3">
      <c r="A13" s="11" t="s">
        <v>20</v>
      </c>
      <c r="B13" s="4">
        <f>3896+I19</f>
        <v>3938</v>
      </c>
      <c r="C13" s="4">
        <f>1120-J19</f>
        <v>1072</v>
      </c>
      <c r="D13" s="5"/>
      <c r="F13" s="7" t="s">
        <v>15</v>
      </c>
      <c r="G13" s="20">
        <v>80</v>
      </c>
      <c r="H13" s="20">
        <v>240</v>
      </c>
      <c r="I13" s="20">
        <v>40</v>
      </c>
      <c r="J13" s="20">
        <v>120</v>
      </c>
      <c r="M13" s="5"/>
    </row>
    <row r="14" spans="1:13" s="1" customFormat="1" x14ac:dyDescent="0.3">
      <c r="A14" s="8" t="s">
        <v>25</v>
      </c>
      <c r="B14" s="4">
        <f>3788+I5</f>
        <v>3820</v>
      </c>
      <c r="C14" s="4">
        <f>600-J5</f>
        <v>577</v>
      </c>
      <c r="D14" s="5"/>
      <c r="F14" s="7" t="s">
        <v>16</v>
      </c>
      <c r="G14" s="21"/>
      <c r="H14" s="21"/>
      <c r="I14" s="21"/>
      <c r="J14" s="21"/>
      <c r="M14" s="5"/>
    </row>
    <row r="15" spans="1:13" s="1" customFormat="1" x14ac:dyDescent="0.3">
      <c r="A15" s="8" t="s">
        <v>12</v>
      </c>
      <c r="B15" s="4">
        <v>3820</v>
      </c>
      <c r="C15" s="4">
        <v>577</v>
      </c>
      <c r="D15" s="5"/>
      <c r="F15" s="16" t="s">
        <v>17</v>
      </c>
      <c r="G15" s="17">
        <v>280</v>
      </c>
      <c r="H15" s="17">
        <v>120</v>
      </c>
      <c r="I15" s="17">
        <v>140</v>
      </c>
      <c r="J15" s="17">
        <v>60</v>
      </c>
      <c r="M15" s="5"/>
    </row>
    <row r="16" spans="1:13" s="1" customFormat="1" x14ac:dyDescent="0.3">
      <c r="A16" s="19" t="s">
        <v>30</v>
      </c>
      <c r="B16" s="19"/>
      <c r="C16" s="19"/>
      <c r="D16" s="5"/>
      <c r="F16" s="11" t="s">
        <v>23</v>
      </c>
      <c r="G16" s="12">
        <v>4</v>
      </c>
      <c r="H16" s="12">
        <v>598</v>
      </c>
      <c r="I16" s="12">
        <v>2</v>
      </c>
      <c r="J16" s="12">
        <v>299</v>
      </c>
      <c r="M16" s="5"/>
    </row>
    <row r="17" spans="1:14" s="1" customFormat="1" x14ac:dyDescent="0.3">
      <c r="A17" s="3" t="s">
        <v>5</v>
      </c>
      <c r="B17" s="3" t="s">
        <v>3</v>
      </c>
      <c r="C17" s="3" t="s">
        <v>4</v>
      </c>
      <c r="F17" s="11" t="s">
        <v>19</v>
      </c>
      <c r="G17" s="12">
        <v>36</v>
      </c>
      <c r="H17" s="12">
        <v>22</v>
      </c>
      <c r="I17" s="12">
        <v>18</v>
      </c>
      <c r="J17" s="12">
        <v>11</v>
      </c>
      <c r="N17" s="5"/>
    </row>
    <row r="18" spans="1:14" s="1" customFormat="1" x14ac:dyDescent="0.3">
      <c r="A18" s="3" t="s">
        <v>6</v>
      </c>
      <c r="B18" s="3" t="s">
        <v>0</v>
      </c>
      <c r="C18" s="3" t="s">
        <v>1</v>
      </c>
      <c r="F18" s="11" t="s">
        <v>18</v>
      </c>
      <c r="G18" s="12">
        <v>69</v>
      </c>
      <c r="H18" s="12">
        <v>78</v>
      </c>
      <c r="I18" s="12">
        <v>34.5</v>
      </c>
      <c r="J18" s="12">
        <v>39</v>
      </c>
      <c r="N18" s="5"/>
    </row>
    <row r="19" spans="1:14" s="1" customFormat="1" x14ac:dyDescent="0.3">
      <c r="A19" s="3" t="s">
        <v>7</v>
      </c>
      <c r="B19" s="3" t="s">
        <v>2</v>
      </c>
      <c r="C19" s="3" t="s">
        <v>2</v>
      </c>
      <c r="F19" s="11" t="s">
        <v>20</v>
      </c>
      <c r="G19" s="12">
        <v>84</v>
      </c>
      <c r="H19" s="12">
        <v>96</v>
      </c>
      <c r="I19" s="12">
        <v>42</v>
      </c>
      <c r="J19" s="12">
        <v>48</v>
      </c>
      <c r="N19" s="5"/>
    </row>
    <row r="20" spans="1:14" s="1" customFormat="1" x14ac:dyDescent="0.3">
      <c r="A20" s="7" t="s">
        <v>15</v>
      </c>
      <c r="B20" s="4">
        <v>2760</v>
      </c>
      <c r="C20" s="4">
        <f>680-J13</f>
        <v>560</v>
      </c>
      <c r="F20" s="11" t="s">
        <v>21</v>
      </c>
      <c r="G20" s="12">
        <v>84</v>
      </c>
      <c r="H20" s="12">
        <v>96</v>
      </c>
      <c r="I20" s="12">
        <v>42</v>
      </c>
      <c r="J20" s="12">
        <v>48</v>
      </c>
      <c r="N20" s="5"/>
    </row>
    <row r="21" spans="1:14" s="1" customFormat="1" x14ac:dyDescent="0.3">
      <c r="A21" s="7" t="s">
        <v>16</v>
      </c>
      <c r="B21" s="4">
        <v>2760</v>
      </c>
      <c r="C21" s="4">
        <v>560</v>
      </c>
      <c r="F21" s="14" t="s">
        <v>22</v>
      </c>
      <c r="G21" s="15">
        <v>400</v>
      </c>
      <c r="H21" s="15">
        <v>120</v>
      </c>
      <c r="I21" s="15">
        <v>200</v>
      </c>
      <c r="J21" s="15">
        <v>60</v>
      </c>
      <c r="N21" s="5"/>
    </row>
    <row r="22" spans="1:14" s="1" customFormat="1" x14ac:dyDescent="0.3">
      <c r="A22" s="16" t="s">
        <v>17</v>
      </c>
      <c r="B22" s="4">
        <f>80+I15</f>
        <v>220</v>
      </c>
      <c r="C22" s="4">
        <f>264-J15</f>
        <v>204</v>
      </c>
      <c r="F22" s="9" t="s">
        <v>24</v>
      </c>
      <c r="G22" s="10">
        <v>41</v>
      </c>
      <c r="H22" s="10">
        <v>77</v>
      </c>
      <c r="I22" s="10">
        <v>20.5</v>
      </c>
      <c r="J22" s="10">
        <v>38.5</v>
      </c>
      <c r="N22" s="5"/>
    </row>
    <row r="23" spans="1:14" s="1" customFormat="1" x14ac:dyDescent="0.3">
      <c r="A23" s="16" t="s">
        <v>17</v>
      </c>
      <c r="B23" s="4">
        <f>680+I15</f>
        <v>820</v>
      </c>
      <c r="C23" s="4">
        <f>383-J15</f>
        <v>323</v>
      </c>
      <c r="J23" s="5"/>
      <c r="N23" s="5"/>
    </row>
    <row r="24" spans="1:14" s="1" customFormat="1" x14ac:dyDescent="0.3">
      <c r="A24" s="16" t="s">
        <v>17</v>
      </c>
      <c r="B24" s="4">
        <v>1300</v>
      </c>
      <c r="C24" s="4">
        <f>463-J15</f>
        <v>403</v>
      </c>
      <c r="J24" s="5"/>
      <c r="N24" s="5"/>
    </row>
    <row r="25" spans="1:14" s="1" customFormat="1" x14ac:dyDescent="0.3">
      <c r="A25" s="16" t="s">
        <v>17</v>
      </c>
      <c r="B25" s="4">
        <v>1780</v>
      </c>
      <c r="C25" s="4">
        <f>543-J15</f>
        <v>483</v>
      </c>
      <c r="J25" s="5"/>
      <c r="N25" s="5"/>
    </row>
    <row r="26" spans="1:14" x14ac:dyDescent="0.3">
      <c r="A26" s="13" t="s">
        <v>13</v>
      </c>
      <c r="B26" s="4">
        <v>3920</v>
      </c>
      <c r="C26" s="4">
        <v>960</v>
      </c>
      <c r="H26" s="1"/>
      <c r="I26" s="1"/>
      <c r="J26" s="6"/>
      <c r="M26"/>
      <c r="N26" s="6"/>
    </row>
    <row r="27" spans="1:14" x14ac:dyDescent="0.3">
      <c r="A27" s="13" t="s">
        <v>14</v>
      </c>
      <c r="B27" s="4">
        <v>3920</v>
      </c>
      <c r="C27" s="4">
        <v>960</v>
      </c>
      <c r="H27" s="1"/>
      <c r="I27" s="1"/>
      <c r="J27" s="6"/>
      <c r="M27"/>
      <c r="N27" s="6"/>
    </row>
    <row r="28" spans="1:14" x14ac:dyDescent="0.3">
      <c r="A28" s="29" t="s">
        <v>33</v>
      </c>
      <c r="B28" s="4">
        <v>5560</v>
      </c>
      <c r="C28" s="4">
        <f>1640-J11</f>
        <v>1500</v>
      </c>
      <c r="I28"/>
      <c r="J28" s="6"/>
      <c r="M28"/>
      <c r="N28" s="6"/>
    </row>
    <row r="29" spans="1:14" x14ac:dyDescent="0.3">
      <c r="A29" s="29" t="s">
        <v>34</v>
      </c>
      <c r="B29" s="4">
        <v>5560</v>
      </c>
      <c r="C29" s="4">
        <v>1500</v>
      </c>
      <c r="I29"/>
      <c r="J29" s="6"/>
      <c r="M29"/>
      <c r="N29" s="6"/>
    </row>
    <row r="30" spans="1:14" x14ac:dyDescent="0.3">
      <c r="A30" s="11" t="s">
        <v>19</v>
      </c>
      <c r="B30" s="4">
        <f>454+I17</f>
        <v>472</v>
      </c>
      <c r="C30" s="4">
        <f>184-J17</f>
        <v>173</v>
      </c>
      <c r="I30"/>
      <c r="J30" s="6"/>
      <c r="M30"/>
      <c r="N30" s="6"/>
    </row>
    <row r="31" spans="1:14" x14ac:dyDescent="0.3">
      <c r="A31" s="11" t="s">
        <v>19</v>
      </c>
      <c r="B31" s="4">
        <v>3841</v>
      </c>
      <c r="C31" s="4">
        <f>950-J17</f>
        <v>939</v>
      </c>
      <c r="I31"/>
      <c r="J31" s="6"/>
      <c r="M31"/>
      <c r="N31" s="6"/>
    </row>
    <row r="32" spans="1:14" x14ac:dyDescent="0.3">
      <c r="A32" s="11" t="s">
        <v>18</v>
      </c>
      <c r="B32" s="4">
        <f>3730+I18</f>
        <v>3764.5</v>
      </c>
      <c r="C32" s="4">
        <f>938-J18</f>
        <v>899</v>
      </c>
      <c r="I32"/>
      <c r="J32" s="6"/>
      <c r="M32"/>
      <c r="N32" s="6"/>
    </row>
    <row r="33" spans="1:14" x14ac:dyDescent="0.3">
      <c r="A33" s="11" t="s">
        <v>20</v>
      </c>
      <c r="B33" s="4">
        <f>5736+I19</f>
        <v>5778</v>
      </c>
      <c r="C33" s="4">
        <f>1640-J19</f>
        <v>1592</v>
      </c>
      <c r="I33"/>
      <c r="J33" s="6"/>
      <c r="M33"/>
      <c r="N33" s="6"/>
    </row>
    <row r="34" spans="1:14" x14ac:dyDescent="0.3">
      <c r="A34" s="8" t="s">
        <v>25</v>
      </c>
      <c r="B34" s="4">
        <f>3445+I5</f>
        <v>3477</v>
      </c>
      <c r="C34" s="4">
        <f>1080-J5</f>
        <v>1057</v>
      </c>
      <c r="I34"/>
      <c r="J34" s="6"/>
      <c r="M34"/>
      <c r="N34" s="6"/>
    </row>
    <row r="35" spans="1:14" x14ac:dyDescent="0.3">
      <c r="A35" s="8" t="s">
        <v>12</v>
      </c>
      <c r="B35" s="4">
        <v>3477</v>
      </c>
      <c r="C35" s="4">
        <v>1057</v>
      </c>
      <c r="I35"/>
      <c r="J35" s="6"/>
      <c r="M35"/>
      <c r="N35" s="6"/>
    </row>
    <row r="36" spans="1:14" x14ac:dyDescent="0.3">
      <c r="A36" s="8" t="s">
        <v>25</v>
      </c>
      <c r="B36" s="4">
        <f>8096+I5</f>
        <v>8128</v>
      </c>
      <c r="C36" s="4">
        <f>1280-J5</f>
        <v>1257</v>
      </c>
      <c r="I36"/>
      <c r="J36" s="6"/>
      <c r="M36"/>
      <c r="N36" s="6"/>
    </row>
    <row r="37" spans="1:14" x14ac:dyDescent="0.3">
      <c r="A37" s="8" t="s">
        <v>12</v>
      </c>
      <c r="B37" s="4">
        <v>8128</v>
      </c>
      <c r="C37" s="4">
        <v>1257</v>
      </c>
      <c r="I37"/>
      <c r="J37" s="6"/>
      <c r="M37"/>
      <c r="N37" s="6"/>
    </row>
    <row r="38" spans="1:14" x14ac:dyDescent="0.3">
      <c r="A38" s="32" t="s">
        <v>36</v>
      </c>
      <c r="B38" s="32"/>
      <c r="C38" s="32"/>
      <c r="I38"/>
      <c r="J38" s="6"/>
      <c r="M38"/>
      <c r="N38" s="6"/>
    </row>
    <row r="39" spans="1:14" x14ac:dyDescent="0.3">
      <c r="A39" s="3" t="s">
        <v>5</v>
      </c>
      <c r="B39" s="3" t="s">
        <v>3</v>
      </c>
      <c r="C39" s="3" t="s">
        <v>4</v>
      </c>
      <c r="I39"/>
      <c r="J39" s="6"/>
      <c r="M39"/>
      <c r="N39" s="6"/>
    </row>
    <row r="40" spans="1:14" x14ac:dyDescent="0.3">
      <c r="A40" s="3" t="s">
        <v>6</v>
      </c>
      <c r="B40" s="3" t="s">
        <v>0</v>
      </c>
      <c r="C40" s="3" t="s">
        <v>1</v>
      </c>
      <c r="I40"/>
      <c r="J40" s="6"/>
      <c r="M40"/>
      <c r="N40" s="6"/>
    </row>
    <row r="41" spans="1:14" x14ac:dyDescent="0.3">
      <c r="A41" s="3" t="s">
        <v>7</v>
      </c>
      <c r="B41" s="3" t="s">
        <v>2</v>
      </c>
      <c r="C41" s="3" t="s">
        <v>2</v>
      </c>
      <c r="I41"/>
      <c r="J41" s="6"/>
      <c r="M41"/>
      <c r="N41" s="6"/>
    </row>
    <row r="42" spans="1:14" x14ac:dyDescent="0.3">
      <c r="A42" s="7" t="s">
        <v>15</v>
      </c>
      <c r="B42" s="4">
        <f>1920+I13</f>
        <v>1960</v>
      </c>
      <c r="C42" s="4">
        <f>640-J13</f>
        <v>520</v>
      </c>
      <c r="I42"/>
      <c r="J42" s="6"/>
      <c r="M42"/>
      <c r="N42" s="6"/>
    </row>
    <row r="43" spans="1:14" x14ac:dyDescent="0.3">
      <c r="A43" s="7" t="s">
        <v>16</v>
      </c>
      <c r="B43" s="4">
        <v>1960</v>
      </c>
      <c r="C43" s="4">
        <v>520</v>
      </c>
      <c r="I43"/>
      <c r="J43" s="6"/>
      <c r="M43"/>
      <c r="N43" s="6"/>
    </row>
    <row r="44" spans="1:14" x14ac:dyDescent="0.3">
      <c r="A44" s="11" t="s">
        <v>19</v>
      </c>
      <c r="B44" s="4">
        <f>2544+I17</f>
        <v>2562</v>
      </c>
      <c r="C44" s="4">
        <f>1438-J17</f>
        <v>1427</v>
      </c>
      <c r="I44"/>
      <c r="J44" s="6"/>
      <c r="M44"/>
      <c r="N44" s="6"/>
    </row>
    <row r="45" spans="1:14" x14ac:dyDescent="0.3">
      <c r="A45" s="11" t="s">
        <v>18</v>
      </c>
      <c r="B45" s="4">
        <f>2493+I18</f>
        <v>2527.5</v>
      </c>
      <c r="C45" s="4">
        <f>1140-J18</f>
        <v>1101</v>
      </c>
      <c r="I45"/>
      <c r="J45" s="6"/>
      <c r="M45"/>
      <c r="N45" s="6"/>
    </row>
    <row r="46" spans="1:14" x14ac:dyDescent="0.3">
      <c r="A46" s="11" t="s">
        <v>21</v>
      </c>
      <c r="B46" s="4">
        <f>1268+I20</f>
        <v>1310</v>
      </c>
      <c r="C46" s="4">
        <f>1279-J20</f>
        <v>1231</v>
      </c>
      <c r="I46"/>
      <c r="J46" s="6"/>
      <c r="M46"/>
      <c r="N46" s="6"/>
    </row>
    <row r="47" spans="1:14" x14ac:dyDescent="0.3">
      <c r="A47" s="14" t="s">
        <v>37</v>
      </c>
      <c r="B47" s="4">
        <f>800+I21</f>
        <v>1000</v>
      </c>
      <c r="C47" s="4">
        <f>1240-J21</f>
        <v>1180</v>
      </c>
      <c r="I47"/>
      <c r="J47" s="6"/>
      <c r="M47"/>
      <c r="N47" s="6"/>
    </row>
    <row r="48" spans="1:14" x14ac:dyDescent="0.3">
      <c r="A48" s="8" t="s">
        <v>25</v>
      </c>
      <c r="B48" s="4">
        <f>2028+I5</f>
        <v>2060</v>
      </c>
      <c r="C48" s="4">
        <f>320-J5</f>
        <v>297</v>
      </c>
      <c r="I48"/>
      <c r="J48" s="6"/>
      <c r="M48"/>
      <c r="N48" s="6"/>
    </row>
    <row r="49" spans="1:14" x14ac:dyDescent="0.3">
      <c r="A49" s="8" t="s">
        <v>12</v>
      </c>
      <c r="B49" s="4">
        <v>2060</v>
      </c>
      <c r="C49" s="4">
        <v>297</v>
      </c>
      <c r="I49"/>
      <c r="J49" s="6"/>
      <c r="M49"/>
      <c r="N49" s="6"/>
    </row>
    <row r="50" spans="1:14" x14ac:dyDescent="0.3">
      <c r="A50" s="8" t="s">
        <v>25</v>
      </c>
      <c r="B50" s="4">
        <f>468+I5</f>
        <v>500</v>
      </c>
      <c r="C50" s="4">
        <f>640-J5</f>
        <v>617</v>
      </c>
      <c r="I50"/>
      <c r="J50" s="6"/>
      <c r="M50"/>
      <c r="N50" s="6"/>
    </row>
    <row r="51" spans="1:14" x14ac:dyDescent="0.3">
      <c r="A51" s="8" t="s">
        <v>12</v>
      </c>
      <c r="B51" s="4">
        <v>500</v>
      </c>
      <c r="C51" s="4">
        <v>617</v>
      </c>
      <c r="I51"/>
      <c r="J51" s="6"/>
      <c r="M51"/>
      <c r="N51" s="6"/>
    </row>
    <row r="52" spans="1:14" x14ac:dyDescent="0.3">
      <c r="A52" s="8" t="s">
        <v>25</v>
      </c>
      <c r="B52" s="4">
        <f>2870+I5</f>
        <v>2902</v>
      </c>
      <c r="C52" s="4">
        <f>1278-J5</f>
        <v>1255</v>
      </c>
      <c r="I52"/>
      <c r="J52" s="6"/>
      <c r="M52"/>
      <c r="N52" s="6"/>
    </row>
    <row r="53" spans="1:14" x14ac:dyDescent="0.3">
      <c r="A53" s="8" t="s">
        <v>12</v>
      </c>
      <c r="B53" s="4">
        <v>2902</v>
      </c>
      <c r="C53" s="4">
        <v>1255</v>
      </c>
      <c r="I53"/>
      <c r="J53" s="6"/>
      <c r="M53"/>
      <c r="N53" s="6"/>
    </row>
    <row r="54" spans="1:14" x14ac:dyDescent="0.3">
      <c r="A54" s="32" t="s">
        <v>38</v>
      </c>
      <c r="B54" s="32"/>
      <c r="C54" s="32"/>
      <c r="I54"/>
      <c r="J54" s="6"/>
      <c r="M54"/>
      <c r="N54" s="6"/>
    </row>
    <row r="55" spans="1:14" x14ac:dyDescent="0.3">
      <c r="A55" s="3" t="s">
        <v>5</v>
      </c>
      <c r="B55" s="3" t="s">
        <v>3</v>
      </c>
      <c r="C55" s="3" t="s">
        <v>4</v>
      </c>
      <c r="I55"/>
      <c r="J55" s="6"/>
      <c r="M55"/>
      <c r="N55" s="6"/>
    </row>
    <row r="56" spans="1:14" x14ac:dyDescent="0.3">
      <c r="A56" s="3" t="s">
        <v>6</v>
      </c>
      <c r="B56" s="3" t="s">
        <v>0</v>
      </c>
      <c r="C56" s="3" t="s">
        <v>1</v>
      </c>
      <c r="I56"/>
      <c r="J56" s="6"/>
      <c r="M56"/>
      <c r="N56" s="6"/>
    </row>
    <row r="57" spans="1:14" x14ac:dyDescent="0.3">
      <c r="A57" s="3" t="s">
        <v>7</v>
      </c>
      <c r="B57" s="3" t="s">
        <v>2</v>
      </c>
      <c r="C57" s="3" t="s">
        <v>2</v>
      </c>
      <c r="I57"/>
      <c r="J57" s="6"/>
      <c r="M57"/>
      <c r="N57" s="6"/>
    </row>
    <row r="58" spans="1:14" x14ac:dyDescent="0.3">
      <c r="A58" s="9" t="s">
        <v>24</v>
      </c>
      <c r="B58" s="4">
        <f>5+I22</f>
        <v>25.5</v>
      </c>
      <c r="C58" s="4">
        <f>560-J22</f>
        <v>521.5</v>
      </c>
      <c r="I58"/>
      <c r="J58" s="6"/>
      <c r="M58"/>
      <c r="N58" s="6"/>
    </row>
    <row r="59" spans="1:14" x14ac:dyDescent="0.3">
      <c r="A59" s="9" t="s">
        <v>24</v>
      </c>
      <c r="B59" s="4">
        <f>619+I22</f>
        <v>639.5</v>
      </c>
      <c r="C59" s="4">
        <f>560-J22</f>
        <v>521.5</v>
      </c>
      <c r="I59"/>
      <c r="J59" s="6"/>
      <c r="M59"/>
      <c r="N59" s="6"/>
    </row>
    <row r="60" spans="1:14" x14ac:dyDescent="0.3">
      <c r="A60" s="9" t="s">
        <v>24</v>
      </c>
      <c r="B60" s="4">
        <f>1234+I22</f>
        <v>1254.5</v>
      </c>
      <c r="C60" s="4">
        <v>521.5</v>
      </c>
      <c r="I60"/>
      <c r="J60" s="6"/>
      <c r="M60"/>
      <c r="N60" s="6"/>
    </row>
    <row r="61" spans="1:14" x14ac:dyDescent="0.3">
      <c r="I61"/>
      <c r="J61" s="6"/>
      <c r="M61"/>
      <c r="N61" s="6"/>
    </row>
    <row r="62" spans="1:14" x14ac:dyDescent="0.3">
      <c r="I62"/>
      <c r="J62" s="6"/>
      <c r="M62"/>
      <c r="N62" s="6"/>
    </row>
    <row r="63" spans="1:14" x14ac:dyDescent="0.3">
      <c r="I63"/>
      <c r="J63" s="6"/>
      <c r="M63"/>
      <c r="N63" s="6"/>
    </row>
  </sheetData>
  <mergeCells count="25">
    <mergeCell ref="A38:C38"/>
    <mergeCell ref="A54:C54"/>
    <mergeCell ref="F1:J1"/>
    <mergeCell ref="I7:I8"/>
    <mergeCell ref="J7:J8"/>
    <mergeCell ref="G9:G10"/>
    <mergeCell ref="H9:H10"/>
    <mergeCell ref="I9:I10"/>
    <mergeCell ref="J9:J10"/>
    <mergeCell ref="A1:C1"/>
    <mergeCell ref="A16:C16"/>
    <mergeCell ref="G13:G14"/>
    <mergeCell ref="H13:H14"/>
    <mergeCell ref="J13:J14"/>
    <mergeCell ref="I5:I6"/>
    <mergeCell ref="I11:I12"/>
    <mergeCell ref="I13:I14"/>
    <mergeCell ref="G5:G6"/>
    <mergeCell ref="H5:H6"/>
    <mergeCell ref="J5:J6"/>
    <mergeCell ref="G11:G12"/>
    <mergeCell ref="H11:H12"/>
    <mergeCell ref="J11:J12"/>
    <mergeCell ref="G7:G8"/>
    <mergeCell ref="H7:H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StructureSizeList</vt:lpstr>
      <vt:lpstr>stage1_StructurePosList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2025-05-19T15:11:58Z</dcterms:modified>
</cp:coreProperties>
</file>