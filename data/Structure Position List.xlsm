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B1A2\B1A2_project1_data\data\"/>
    </mc:Choice>
  </mc:AlternateContent>
  <xr:revisionPtr revIDLastSave="0" documentId="13_ncr:1_{8DE7C1EA-7BA9-47E9-B9F3-707D608793D2}" xr6:coauthVersionLast="47" xr6:coauthVersionMax="47" xr10:uidLastSave="{00000000-0000-0000-0000-000000000000}"/>
  <bookViews>
    <workbookView xWindow="-120" yWindow="-120" windowWidth="29040" windowHeight="15720" xr2:uid="{7AC52C11-0D90-4953-9BD9-4FE6108530F7}"/>
  </bookViews>
  <sheets>
    <sheet name="StructureSize" sheetId="1" r:id="rId1"/>
    <sheet name="Stage1StructurePosList" sheetId="25" r:id="rId2"/>
    <sheet name="Stage2StructurePosList" sheetId="26" r:id="rId3"/>
    <sheet name="Stage3StructurePosList" sheetId="27" r:id="rId4"/>
    <sheet name="Stage4StructurePosList" sheetId="28" r:id="rId5"/>
    <sheet name="learnSkill_StructurePosList" sheetId="2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29" l="1"/>
  <c r="B4" i="29"/>
  <c r="C7" i="29"/>
  <c r="B7" i="29"/>
  <c r="C5" i="29"/>
  <c r="C6" i="29"/>
  <c r="B5" i="29"/>
  <c r="B6" i="29"/>
  <c r="C8" i="29"/>
  <c r="C4" i="29"/>
  <c r="C6" i="25"/>
  <c r="B12" i="26"/>
  <c r="C12" i="26"/>
  <c r="B4" i="26"/>
  <c r="C4" i="26"/>
  <c r="B11" i="26"/>
  <c r="C11" i="26"/>
  <c r="B7" i="25"/>
  <c r="C7" i="25"/>
  <c r="B4" i="25"/>
  <c r="C4" i="25"/>
  <c r="D14" i="1"/>
  <c r="C8" i="25"/>
  <c r="B8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tc={10AE21F7-8B94-47E9-9AAF-317AB96F90D8}</author>
  </authors>
  <commentList>
    <comment ref="F13" authorId="0" shapeId="0" xr:uid="{10AE21F7-8B94-47E9-9AAF-317AB96F90D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짚라인(세로)
stage1에 한 개 있음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tc={8E5303D1-2FA6-4C4F-A993-72925FC22D3B}</author>
  </authors>
  <commentList>
    <comment ref="A6" authorId="0" shapeId="0" xr:uid="{8E5303D1-2FA6-4C4F-A993-72925FC22D3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수직</t>
      </text>
    </comment>
  </commentList>
</comments>
</file>

<file path=xl/sharedStrings.xml><?xml version="1.0" encoding="utf-8"?>
<sst xmlns="http://schemas.openxmlformats.org/spreadsheetml/2006/main" count="330" uniqueCount="63">
  <si>
    <t>float</t>
    <phoneticPr fontId="1" type="noConversion"/>
  </si>
  <si>
    <t>스폰 위치 X</t>
    <phoneticPr fontId="1" type="noConversion"/>
  </si>
  <si>
    <t>스폰 위치 Y</t>
    <phoneticPr fontId="1" type="noConversion"/>
  </si>
  <si>
    <t>이름</t>
    <phoneticPr fontId="1" type="noConversion"/>
  </si>
  <si>
    <t>name</t>
    <phoneticPr fontId="1" type="noConversion"/>
  </si>
  <si>
    <t>char</t>
    <phoneticPr fontId="1" type="noConversion"/>
  </si>
  <si>
    <t>가로 사이즈</t>
    <phoneticPr fontId="1" type="noConversion"/>
  </si>
  <si>
    <t>세로 사이즈</t>
    <phoneticPr fontId="1" type="noConversion"/>
  </si>
  <si>
    <t>width</t>
    <phoneticPr fontId="1" type="noConversion"/>
  </si>
  <si>
    <t>length</t>
    <phoneticPr fontId="1" type="noConversion"/>
  </si>
  <si>
    <t>Wall</t>
  </si>
  <si>
    <t>BreakingWall</t>
  </si>
  <si>
    <t>LockedDoor</t>
    <phoneticPr fontId="1" type="noConversion"/>
  </si>
  <si>
    <t>Window</t>
    <phoneticPr fontId="1" type="noConversion"/>
  </si>
  <si>
    <t>ZipLineDisplay</t>
  </si>
  <si>
    <t>ZipLineGrip</t>
  </si>
  <si>
    <t>ZipLineButton</t>
    <phoneticPr fontId="1" type="noConversion"/>
  </si>
  <si>
    <t>FootHoldAndZipLineButton</t>
  </si>
  <si>
    <t>FootHold</t>
  </si>
  <si>
    <t>ZipLine</t>
    <phoneticPr fontId="1" type="noConversion"/>
  </si>
  <si>
    <t>Crystal</t>
    <phoneticPr fontId="1" type="noConversion"/>
  </si>
  <si>
    <t>DestructibleObject</t>
    <phoneticPr fontId="1" type="noConversion"/>
  </si>
  <si>
    <t>middle</t>
    <phoneticPr fontId="1" type="noConversion"/>
  </si>
  <si>
    <t>가로 중앙</t>
    <phoneticPr fontId="1" type="noConversion"/>
  </si>
  <si>
    <t>세로 중앙</t>
    <phoneticPr fontId="1" type="noConversion"/>
  </si>
  <si>
    <t>BreakingWallShort</t>
    <phoneticPr fontId="1" type="noConversion"/>
  </si>
  <si>
    <t>WallLong</t>
    <phoneticPr fontId="1" type="noConversion"/>
  </si>
  <si>
    <t>BreakingWallLong</t>
    <phoneticPr fontId="1" type="noConversion"/>
  </si>
  <si>
    <t>WallShot</t>
    <phoneticPr fontId="1" type="noConversion"/>
  </si>
  <si>
    <t>열쇠 위치 X</t>
    <phoneticPr fontId="1" type="noConversion"/>
  </si>
  <si>
    <t>열쇠 위치 Y</t>
    <phoneticPr fontId="1" type="noConversion"/>
  </si>
  <si>
    <t>짚라인 타입</t>
    <phoneticPr fontId="1" type="noConversion"/>
  </si>
  <si>
    <t>int</t>
    <phoneticPr fontId="1" type="noConversion"/>
  </si>
  <si>
    <t>벽 타입</t>
    <phoneticPr fontId="1" type="noConversion"/>
  </si>
  <si>
    <t>짚라인 시작 위치 X</t>
    <phoneticPr fontId="1" type="noConversion"/>
  </si>
  <si>
    <t>짚라인 시작 위치 Y</t>
    <phoneticPr fontId="1" type="noConversion"/>
  </si>
  <si>
    <t>짚라인 끝 위치 X</t>
    <phoneticPr fontId="1" type="noConversion"/>
  </si>
  <si>
    <t>짚라인 끝 위치 Y</t>
    <phoneticPr fontId="1" type="noConversion"/>
  </si>
  <si>
    <t>창문 깜빡임 주기</t>
    <phoneticPr fontId="1" type="noConversion"/>
  </si>
  <si>
    <t>창문 깜빡인 지속 시간</t>
    <phoneticPr fontId="1" type="noConversion"/>
  </si>
  <si>
    <t>wallType</t>
    <phoneticPr fontId="1" type="noConversion"/>
  </si>
  <si>
    <t>zipLineType</t>
    <phoneticPr fontId="1" type="noConversion"/>
  </si>
  <si>
    <t>windowFlickeringCycle</t>
    <phoneticPr fontId="1" type="noConversion"/>
  </si>
  <si>
    <t>windowFlickeringDuration</t>
    <phoneticPr fontId="1" type="noConversion"/>
  </si>
  <si>
    <t>BreakingWall</t>
    <phoneticPr fontId="1" type="noConversion"/>
  </si>
  <si>
    <t>짚라인 렌더 타입</t>
    <phoneticPr fontId="1" type="noConversion"/>
  </si>
  <si>
    <t>ZipLineRenderType</t>
    <phoneticPr fontId="1" type="noConversion"/>
  </si>
  <si>
    <t>짚라인 버튼 위치 X</t>
    <phoneticPr fontId="1" type="noConversion"/>
  </si>
  <si>
    <t>짚라인 버튼 위치 Y</t>
    <phoneticPr fontId="1" type="noConversion"/>
  </si>
  <si>
    <t>짚라인 디스플레이 위치 X</t>
    <phoneticPr fontId="1" type="noConversion"/>
  </si>
  <si>
    <t>짚라인 디스플레이 위치 Y</t>
    <phoneticPr fontId="1" type="noConversion"/>
  </si>
  <si>
    <t>spawnPos.x</t>
    <phoneticPr fontId="1" type="noConversion"/>
  </si>
  <si>
    <t>spawnPos.y</t>
    <phoneticPr fontId="1" type="noConversion"/>
  </si>
  <si>
    <t>keyPos.x</t>
    <phoneticPr fontId="1" type="noConversion"/>
  </si>
  <si>
    <t>zipLineStartPos.x</t>
    <phoneticPr fontId="1" type="noConversion"/>
  </si>
  <si>
    <t>zipLineStartPos.y</t>
    <phoneticPr fontId="1" type="noConversion"/>
  </si>
  <si>
    <t>keyPos.y</t>
    <phoneticPr fontId="1" type="noConversion"/>
  </si>
  <si>
    <t>zipLineEndPos.x</t>
    <phoneticPr fontId="1" type="noConversion"/>
  </si>
  <si>
    <t>zipLineButtonPos.x</t>
    <phoneticPr fontId="1" type="noConversion"/>
  </si>
  <si>
    <t>zipLineDisplayPos.x</t>
    <phoneticPr fontId="1" type="noConversion"/>
  </si>
  <si>
    <t>zipLineEndPos.y</t>
    <phoneticPr fontId="1" type="noConversion"/>
  </si>
  <si>
    <t>zipLineButtonPos.y</t>
    <phoneticPr fontId="1" type="noConversion"/>
  </si>
  <si>
    <t>zipLineDisplayPos.y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</si>
</sst>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);[Red]\(0\)"/>
    <numFmt numFmtId="178" formatCode="0.00_);[Red]\(0.00\)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76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76" fontId="0" fillId="9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>
      <alignment vertical="center"/>
    </xf>
    <xf numFmtId="178" fontId="0" fillId="2" borderId="1" xfId="0" applyNumberFormat="1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8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76" fontId="0" fillId="3" borderId="2" xfId="0" applyNumberFormat="1" applyFill="1" applyBorder="1" applyAlignment="1">
      <alignment horizontal="center" vertical="center"/>
    </xf>
    <xf numFmtId="176" fontId="0" fillId="4" borderId="2" xfId="0" applyNumberFormat="1" applyFill="1" applyBorder="1" applyAlignment="1">
      <alignment horizontal="center" vertical="center"/>
    </xf>
    <xf numFmtId="178" fontId="0" fillId="2" borderId="2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11" borderId="2" xfId="0" applyNumberFormat="1" applyFill="1" applyBorder="1" applyAlignment="1">
      <alignment horizontal="center" vertical="center"/>
    </xf>
    <xf numFmtId="176" fontId="0" fillId="11" borderId="3" xfId="0" applyNumberFormat="1" applyFill="1" applyBorder="1" applyAlignment="1">
      <alignment horizontal="center" vertical="center"/>
    </xf>
    <xf numFmtId="176" fontId="0" fillId="7" borderId="2" xfId="0" applyNumberFormat="1" applyFill="1" applyBorder="1" applyAlignment="1">
      <alignment horizontal="center" vertical="center"/>
    </xf>
    <xf numFmtId="176" fontId="0" fillId="7" borderId="3" xfId="0" applyNumberFormat="1" applyFill="1" applyBorder="1" applyAlignment="1">
      <alignment horizontal="center" vertical="center"/>
    </xf>
    <xf numFmtId="176" fontId="0" fillId="10" borderId="2" xfId="0" applyNumberFormat="1" applyFill="1" applyBorder="1" applyAlignment="1">
      <alignment horizontal="center" vertical="center"/>
    </xf>
    <xf numFmtId="176" fontId="0" fillId="10" borderId="3" xfId="0" applyNumberForma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CCCCFF"/>
      <color rgb="FFFFFF99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이하나 윤" id="{F585EDB6-3C58-4D5A-B702-AA3B83973469}" userId="f658f17427b35de9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3" dT="2025-06-09T07:39:58.98" personId="{F585EDB6-3C58-4D5A-B702-AA3B83973469}" id="{10AE21F7-8B94-47E9-9AAF-317AB96F90D8}">
    <text>짚라인(세로)
stage1에 한 개 있음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6" dT="2025-06-09T08:46:14.25" personId="{F585EDB6-3C58-4D5A-B702-AA3B83973469}" id="{8E5303D1-2FA6-4C4F-A993-72925FC22D3B}">
    <text>수직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9A8E-2923-4849-866D-2B5286C1DC5B}">
  <sheetPr codeName="Sheet1"/>
  <dimension ref="A1:M61"/>
  <sheetViews>
    <sheetView tabSelected="1" workbookViewId="0">
      <selection activeCell="H11" sqref="H11"/>
    </sheetView>
  </sheetViews>
  <sheetFormatPr defaultRowHeight="16.5" x14ac:dyDescent="0.3"/>
  <cols>
    <col min="1" max="1" width="26.5" style="5" bestFit="1" customWidth="1"/>
    <col min="2" max="2" width="11.625" style="5" bestFit="1" customWidth="1"/>
    <col min="3" max="3" width="11.625" bestFit="1" customWidth="1"/>
    <col min="4" max="5" width="9.625" bestFit="1" customWidth="1"/>
    <col min="6" max="6" width="2" customWidth="1"/>
    <col min="7" max="7" width="12.375" bestFit="1" customWidth="1"/>
    <col min="8" max="8" width="10.125" style="5" bestFit="1" customWidth="1"/>
    <col min="9" max="9" width="10.125" bestFit="1" customWidth="1"/>
    <col min="10" max="10" width="18.625" bestFit="1" customWidth="1"/>
    <col min="11" max="11" width="12.125" bestFit="1" customWidth="1"/>
    <col min="12" max="12" width="16" style="5" bestFit="1" customWidth="1"/>
    <col min="13" max="13" width="16" bestFit="1" customWidth="1"/>
    <col min="14" max="14" width="23.625" bestFit="1" customWidth="1"/>
    <col min="15" max="15" width="9" customWidth="1"/>
  </cols>
  <sheetData>
    <row r="1" spans="1:13" x14ac:dyDescent="0.3">
      <c r="A1" s="2" t="s">
        <v>3</v>
      </c>
      <c r="B1" s="2" t="s">
        <v>6</v>
      </c>
      <c r="C1" s="2" t="s">
        <v>7</v>
      </c>
      <c r="D1" s="2" t="s">
        <v>23</v>
      </c>
      <c r="E1" s="2" t="s">
        <v>24</v>
      </c>
      <c r="F1" s="5"/>
      <c r="G1" s="5"/>
      <c r="H1"/>
      <c r="K1" s="5"/>
      <c r="L1"/>
    </row>
    <row r="2" spans="1:13" s="1" customFormat="1" x14ac:dyDescent="0.3">
      <c r="A2" s="2" t="s">
        <v>4</v>
      </c>
      <c r="B2" s="2" t="s">
        <v>8</v>
      </c>
      <c r="C2" s="2" t="s">
        <v>9</v>
      </c>
      <c r="D2" s="2" t="s">
        <v>8</v>
      </c>
      <c r="E2" s="2" t="s">
        <v>22</v>
      </c>
    </row>
    <row r="3" spans="1:13" s="1" customFormat="1" x14ac:dyDescent="0.3">
      <c r="A3" s="2" t="s">
        <v>5</v>
      </c>
      <c r="B3" s="2" t="s">
        <v>0</v>
      </c>
      <c r="C3" s="2" t="s">
        <v>0</v>
      </c>
      <c r="D3" s="2" t="s">
        <v>0</v>
      </c>
      <c r="E3" s="2" t="s">
        <v>0</v>
      </c>
    </row>
    <row r="4" spans="1:13" s="1" customFormat="1" x14ac:dyDescent="0.3">
      <c r="A4" s="7" t="s">
        <v>21</v>
      </c>
      <c r="B4" s="27">
        <v>64</v>
      </c>
      <c r="C4" s="27">
        <v>46</v>
      </c>
      <c r="D4" s="27">
        <v>32</v>
      </c>
      <c r="E4" s="27">
        <v>23</v>
      </c>
    </row>
    <row r="5" spans="1:13" x14ac:dyDescent="0.3">
      <c r="A5" s="12" t="s">
        <v>10</v>
      </c>
      <c r="B5" s="32">
        <v>80</v>
      </c>
      <c r="C5" s="32">
        <v>240</v>
      </c>
      <c r="D5" s="32">
        <v>40</v>
      </c>
      <c r="E5" s="32">
        <v>120</v>
      </c>
    </row>
    <row r="6" spans="1:13" x14ac:dyDescent="0.3">
      <c r="A6" s="12" t="s">
        <v>11</v>
      </c>
      <c r="B6" s="33"/>
      <c r="C6" s="33"/>
      <c r="D6" s="33"/>
      <c r="E6" s="33"/>
    </row>
    <row r="7" spans="1:13" x14ac:dyDescent="0.3">
      <c r="A7" s="17" t="s">
        <v>28</v>
      </c>
      <c r="B7" s="34">
        <v>80</v>
      </c>
      <c r="C7" s="34">
        <v>160</v>
      </c>
      <c r="D7" s="34">
        <v>40</v>
      </c>
      <c r="E7" s="34">
        <v>80</v>
      </c>
    </row>
    <row r="8" spans="1:13" x14ac:dyDescent="0.3">
      <c r="A8" s="17" t="s">
        <v>25</v>
      </c>
      <c r="B8" s="35"/>
      <c r="C8" s="35"/>
      <c r="D8" s="35"/>
      <c r="E8" s="35"/>
    </row>
    <row r="9" spans="1:13" s="1" customFormat="1" x14ac:dyDescent="0.3">
      <c r="A9" s="18" t="s">
        <v>26</v>
      </c>
      <c r="B9" s="30">
        <v>80</v>
      </c>
      <c r="C9" s="30">
        <v>280</v>
      </c>
      <c r="D9" s="30">
        <v>40</v>
      </c>
      <c r="E9" s="30">
        <v>140</v>
      </c>
      <c r="L9" s="4"/>
    </row>
    <row r="10" spans="1:13" s="1" customFormat="1" x14ac:dyDescent="0.3">
      <c r="A10" s="18" t="s">
        <v>27</v>
      </c>
      <c r="B10" s="31"/>
      <c r="C10" s="31"/>
      <c r="D10" s="31"/>
      <c r="E10" s="31"/>
      <c r="L10" s="4"/>
    </row>
    <row r="11" spans="1:13" s="1" customFormat="1" x14ac:dyDescent="0.3">
      <c r="A11" s="6" t="s">
        <v>12</v>
      </c>
      <c r="B11" s="26">
        <v>80</v>
      </c>
      <c r="C11" s="26">
        <v>240</v>
      </c>
      <c r="D11" s="26">
        <v>40</v>
      </c>
      <c r="E11" s="26">
        <v>120</v>
      </c>
      <c r="L11" s="4"/>
    </row>
    <row r="12" spans="1:13" s="1" customFormat="1" x14ac:dyDescent="0.3">
      <c r="A12" s="15" t="s">
        <v>13</v>
      </c>
      <c r="B12" s="16">
        <v>280</v>
      </c>
      <c r="C12" s="16">
        <v>120</v>
      </c>
      <c r="D12" s="16">
        <v>140</v>
      </c>
      <c r="E12" s="16">
        <v>60</v>
      </c>
      <c r="L12" s="4"/>
    </row>
    <row r="13" spans="1:13" s="1" customFormat="1" x14ac:dyDescent="0.3">
      <c r="A13" s="10" t="s">
        <v>19</v>
      </c>
      <c r="B13" s="11">
        <v>4</v>
      </c>
      <c r="C13" s="11">
        <v>598</v>
      </c>
      <c r="D13" s="11">
        <v>2</v>
      </c>
      <c r="E13" s="11">
        <v>299</v>
      </c>
      <c r="L13" s="4"/>
    </row>
    <row r="14" spans="1:13" s="1" customFormat="1" x14ac:dyDescent="0.3">
      <c r="A14" s="10" t="s">
        <v>15</v>
      </c>
      <c r="B14" s="11">
        <v>15</v>
      </c>
      <c r="C14" s="11">
        <v>9</v>
      </c>
      <c r="D14" s="11">
        <f>15/2</f>
        <v>7.5</v>
      </c>
      <c r="E14" s="11">
        <v>4.5</v>
      </c>
      <c r="L14" s="4"/>
    </row>
    <row r="15" spans="1:13" s="1" customFormat="1" x14ac:dyDescent="0.3">
      <c r="A15" s="10" t="s">
        <v>14</v>
      </c>
      <c r="B15" s="11">
        <v>69</v>
      </c>
      <c r="C15" s="11">
        <v>78</v>
      </c>
      <c r="D15" s="11">
        <v>34.5</v>
      </c>
      <c r="E15" s="11">
        <v>39</v>
      </c>
      <c r="M15" s="4"/>
    </row>
    <row r="16" spans="1:13" s="1" customFormat="1" x14ac:dyDescent="0.3">
      <c r="A16" s="10" t="s">
        <v>16</v>
      </c>
      <c r="B16" s="11">
        <v>84</v>
      </c>
      <c r="C16" s="11">
        <v>96</v>
      </c>
      <c r="D16" s="11">
        <v>42</v>
      </c>
      <c r="E16" s="11">
        <v>48</v>
      </c>
      <c r="M16" s="4"/>
    </row>
    <row r="17" spans="1:13" s="1" customFormat="1" x14ac:dyDescent="0.3">
      <c r="A17" s="10" t="s">
        <v>17</v>
      </c>
      <c r="B17" s="11">
        <v>84</v>
      </c>
      <c r="C17" s="11">
        <v>96</v>
      </c>
      <c r="D17" s="11">
        <v>42</v>
      </c>
      <c r="E17" s="11">
        <v>48</v>
      </c>
      <c r="M17" s="4"/>
    </row>
    <row r="18" spans="1:13" s="1" customFormat="1" x14ac:dyDescent="0.3">
      <c r="A18" s="13" t="s">
        <v>18</v>
      </c>
      <c r="B18" s="14">
        <v>400</v>
      </c>
      <c r="C18" s="14">
        <v>120</v>
      </c>
      <c r="D18" s="14">
        <v>200</v>
      </c>
      <c r="E18" s="14">
        <v>60</v>
      </c>
      <c r="M18" s="4"/>
    </row>
    <row r="19" spans="1:13" s="1" customFormat="1" x14ac:dyDescent="0.3">
      <c r="A19" s="8" t="s">
        <v>20</v>
      </c>
      <c r="B19" s="9">
        <v>41</v>
      </c>
      <c r="C19" s="9">
        <v>77</v>
      </c>
      <c r="D19" s="9">
        <v>20.5</v>
      </c>
      <c r="E19" s="9">
        <v>38.5</v>
      </c>
      <c r="M19" s="4"/>
    </row>
    <row r="20" spans="1:13" s="1" customFormat="1" x14ac:dyDescent="0.3">
      <c r="M20" s="4"/>
    </row>
    <row r="21" spans="1:13" s="1" customFormat="1" x14ac:dyDescent="0.3">
      <c r="I21" s="4"/>
      <c r="M21" s="4"/>
    </row>
    <row r="22" spans="1:13" s="1" customFormat="1" x14ac:dyDescent="0.3">
      <c r="I22" s="4"/>
      <c r="M22" s="4"/>
    </row>
    <row r="23" spans="1:13" s="1" customFormat="1" x14ac:dyDescent="0.3">
      <c r="I23" s="4"/>
      <c r="M23" s="4"/>
    </row>
    <row r="24" spans="1:13" x14ac:dyDescent="0.3">
      <c r="G24" s="1"/>
      <c r="H24" s="1"/>
      <c r="I24" s="5"/>
      <c r="L24"/>
      <c r="M24" s="5"/>
    </row>
    <row r="25" spans="1:13" x14ac:dyDescent="0.3">
      <c r="G25" s="1"/>
      <c r="H25" s="1"/>
      <c r="I25" s="5"/>
      <c r="L25"/>
      <c r="M25" s="5"/>
    </row>
    <row r="26" spans="1:13" x14ac:dyDescent="0.3">
      <c r="H26"/>
      <c r="I26" s="5"/>
      <c r="L26"/>
      <c r="M26" s="5"/>
    </row>
    <row r="27" spans="1:13" x14ac:dyDescent="0.3">
      <c r="H27"/>
      <c r="I27" s="5"/>
      <c r="L27"/>
      <c r="M27" s="5"/>
    </row>
    <row r="28" spans="1:13" x14ac:dyDescent="0.3">
      <c r="H28"/>
      <c r="I28" s="5"/>
      <c r="L28"/>
      <c r="M28" s="5"/>
    </row>
    <row r="29" spans="1:13" x14ac:dyDescent="0.3">
      <c r="H29"/>
      <c r="I29" s="5"/>
      <c r="L29"/>
      <c r="M29" s="5"/>
    </row>
    <row r="30" spans="1:13" x14ac:dyDescent="0.3">
      <c r="H30"/>
      <c r="I30" s="5"/>
      <c r="L30"/>
      <c r="M30" s="5"/>
    </row>
    <row r="31" spans="1:13" x14ac:dyDescent="0.3">
      <c r="H31"/>
      <c r="I31" s="5"/>
      <c r="L31"/>
      <c r="M31" s="5"/>
    </row>
    <row r="32" spans="1:13" x14ac:dyDescent="0.3">
      <c r="H32"/>
      <c r="I32" s="5"/>
      <c r="L32"/>
      <c r="M32" s="5"/>
    </row>
    <row r="33" spans="8:13" x14ac:dyDescent="0.3">
      <c r="H33"/>
      <c r="I33" s="5"/>
      <c r="L33"/>
      <c r="M33" s="5"/>
    </row>
    <row r="34" spans="8:13" x14ac:dyDescent="0.3">
      <c r="H34"/>
      <c r="I34" s="5"/>
      <c r="L34"/>
      <c r="M34" s="5"/>
    </row>
    <row r="35" spans="8:13" x14ac:dyDescent="0.3">
      <c r="H35"/>
      <c r="I35" s="5"/>
      <c r="L35"/>
      <c r="M35" s="5"/>
    </row>
    <row r="36" spans="8:13" x14ac:dyDescent="0.3">
      <c r="H36"/>
      <c r="I36" s="5"/>
      <c r="L36"/>
      <c r="M36" s="5"/>
    </row>
    <row r="37" spans="8:13" x14ac:dyDescent="0.3">
      <c r="H37"/>
      <c r="I37" s="5"/>
      <c r="L37"/>
      <c r="M37" s="5"/>
    </row>
    <row r="38" spans="8:13" x14ac:dyDescent="0.3">
      <c r="H38"/>
      <c r="I38" s="5"/>
      <c r="L38"/>
      <c r="M38" s="5"/>
    </row>
    <row r="39" spans="8:13" x14ac:dyDescent="0.3">
      <c r="H39"/>
      <c r="I39" s="5"/>
      <c r="L39"/>
      <c r="M39" s="5"/>
    </row>
    <row r="40" spans="8:13" x14ac:dyDescent="0.3">
      <c r="H40"/>
      <c r="I40" s="5"/>
      <c r="L40"/>
      <c r="M40" s="5"/>
    </row>
    <row r="41" spans="8:13" x14ac:dyDescent="0.3">
      <c r="H41"/>
      <c r="I41" s="5"/>
      <c r="L41"/>
      <c r="M41" s="5"/>
    </row>
    <row r="42" spans="8:13" x14ac:dyDescent="0.3">
      <c r="H42"/>
      <c r="I42" s="5"/>
      <c r="L42"/>
      <c r="M42" s="5"/>
    </row>
    <row r="43" spans="8:13" x14ac:dyDescent="0.3">
      <c r="H43"/>
      <c r="I43" s="5"/>
      <c r="L43"/>
      <c r="M43" s="5"/>
    </row>
    <row r="44" spans="8:13" x14ac:dyDescent="0.3">
      <c r="H44"/>
      <c r="I44" s="5"/>
      <c r="L44"/>
      <c r="M44" s="5"/>
    </row>
    <row r="45" spans="8:13" x14ac:dyDescent="0.3">
      <c r="H45"/>
      <c r="I45" s="5"/>
      <c r="L45"/>
      <c r="M45" s="5"/>
    </row>
    <row r="46" spans="8:13" x14ac:dyDescent="0.3">
      <c r="H46"/>
      <c r="I46" s="5"/>
      <c r="L46"/>
      <c r="M46" s="5"/>
    </row>
    <row r="47" spans="8:13" x14ac:dyDescent="0.3">
      <c r="H47"/>
      <c r="I47" s="5"/>
      <c r="L47"/>
      <c r="M47" s="5"/>
    </row>
    <row r="48" spans="8:13" x14ac:dyDescent="0.3">
      <c r="H48"/>
      <c r="I48" s="5"/>
      <c r="L48"/>
      <c r="M48" s="5"/>
    </row>
    <row r="49" spans="8:13" x14ac:dyDescent="0.3">
      <c r="H49"/>
      <c r="I49" s="5"/>
      <c r="L49"/>
      <c r="M49" s="5"/>
    </row>
    <row r="50" spans="8:13" x14ac:dyDescent="0.3">
      <c r="H50"/>
      <c r="I50" s="5"/>
      <c r="L50"/>
      <c r="M50" s="5"/>
    </row>
    <row r="51" spans="8:13" x14ac:dyDescent="0.3">
      <c r="H51"/>
      <c r="I51" s="5"/>
      <c r="L51"/>
      <c r="M51" s="5"/>
    </row>
    <row r="52" spans="8:13" x14ac:dyDescent="0.3">
      <c r="H52"/>
      <c r="I52" s="5"/>
      <c r="L52"/>
      <c r="M52" s="5"/>
    </row>
    <row r="53" spans="8:13" x14ac:dyDescent="0.3">
      <c r="H53"/>
      <c r="I53" s="5"/>
      <c r="L53"/>
      <c r="M53" s="5"/>
    </row>
    <row r="54" spans="8:13" x14ac:dyDescent="0.3">
      <c r="H54"/>
      <c r="I54" s="5"/>
      <c r="L54"/>
      <c r="M54" s="5"/>
    </row>
    <row r="55" spans="8:13" x14ac:dyDescent="0.3">
      <c r="H55"/>
      <c r="I55" s="5"/>
      <c r="L55"/>
      <c r="M55" s="5"/>
    </row>
    <row r="56" spans="8:13" x14ac:dyDescent="0.3">
      <c r="H56"/>
      <c r="I56" s="5"/>
      <c r="L56"/>
      <c r="M56" s="5"/>
    </row>
    <row r="57" spans="8:13" x14ac:dyDescent="0.3">
      <c r="H57"/>
      <c r="I57" s="5"/>
      <c r="L57"/>
      <c r="M57" s="5"/>
    </row>
    <row r="58" spans="8:13" x14ac:dyDescent="0.3">
      <c r="H58"/>
      <c r="I58" s="5"/>
      <c r="L58"/>
      <c r="M58" s="5"/>
    </row>
    <row r="59" spans="8:13" x14ac:dyDescent="0.3">
      <c r="H59"/>
      <c r="I59" s="5"/>
      <c r="L59"/>
      <c r="M59" s="5"/>
    </row>
    <row r="60" spans="8:13" x14ac:dyDescent="0.3">
      <c r="H60"/>
      <c r="I60" s="5"/>
      <c r="L60"/>
      <c r="M60" s="5"/>
    </row>
    <row r="61" spans="8:13" x14ac:dyDescent="0.3">
      <c r="H61"/>
      <c r="I61" s="5"/>
      <c r="L61"/>
      <c r="M61" s="5"/>
    </row>
  </sheetData>
  <mergeCells count="12">
    <mergeCell ref="B9:B10"/>
    <mergeCell ref="C9:C10"/>
    <mergeCell ref="E9:E10"/>
    <mergeCell ref="B5:B6"/>
    <mergeCell ref="C5:C6"/>
    <mergeCell ref="D5:D6"/>
    <mergeCell ref="E5:E6"/>
    <mergeCell ref="B7:B8"/>
    <mergeCell ref="D9:D10"/>
    <mergeCell ref="C7:C8"/>
    <mergeCell ref="D7:D8"/>
    <mergeCell ref="E7:E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6E9A-F8D1-46F9-9954-975049CE8CF8}">
  <sheetPr codeName="Sheet2"/>
  <dimension ref="A1:R10"/>
  <sheetViews>
    <sheetView zoomScale="85" zoomScaleNormal="85" workbookViewId="0">
      <selection activeCell="A5" sqref="A5:XFD5"/>
    </sheetView>
  </sheetViews>
  <sheetFormatPr defaultRowHeight="16.5" x14ac:dyDescent="0.3"/>
  <cols>
    <col min="1" max="1" width="26.375" bestFit="1" customWidth="1"/>
    <col min="2" max="2" width="11.5" bestFit="1" customWidth="1"/>
    <col min="3" max="3" width="11.375" bestFit="1" customWidth="1"/>
    <col min="4" max="4" width="11.5" style="24" bestFit="1" customWidth="1"/>
    <col min="5" max="5" width="11.375" style="24" bestFit="1" customWidth="1"/>
    <col min="6" max="6" width="8.875" style="24" bestFit="1" customWidth="1"/>
    <col min="7" max="7" width="11.625" style="24" bestFit="1" customWidth="1"/>
    <col min="8" max="8" width="18.625" style="24" bestFit="1" customWidth="1"/>
    <col min="9" max="9" width="18.5" style="21" bestFit="1" customWidth="1"/>
    <col min="10" max="10" width="18.375" style="21" bestFit="1" customWidth="1"/>
    <col min="11" max="11" width="16.375" style="24" bestFit="1" customWidth="1"/>
    <col min="12" max="12" width="16.25" style="24" bestFit="1" customWidth="1"/>
    <col min="13" max="13" width="18.5" style="24" bestFit="1" customWidth="1"/>
    <col min="14" max="14" width="18.375" style="24" bestFit="1" customWidth="1"/>
    <col min="15" max="15" width="24.75" style="24" bestFit="1" customWidth="1"/>
    <col min="16" max="16" width="24.5" style="24" bestFit="1" customWidth="1"/>
    <col min="17" max="17" width="21.875" style="24" bestFit="1" customWidth="1"/>
    <col min="18" max="18" width="25.25" style="24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45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47</v>
      </c>
      <c r="N1" s="22" t="s">
        <v>48</v>
      </c>
      <c r="O1" s="22" t="s">
        <v>49</v>
      </c>
      <c r="P1" s="22" t="s">
        <v>50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51</v>
      </c>
      <c r="C2" s="22" t="s">
        <v>52</v>
      </c>
      <c r="D2" s="22" t="s">
        <v>53</v>
      </c>
      <c r="E2" s="22" t="s">
        <v>56</v>
      </c>
      <c r="F2" s="19" t="s">
        <v>40</v>
      </c>
      <c r="G2" s="19" t="s">
        <v>41</v>
      </c>
      <c r="H2" s="19" t="s">
        <v>46</v>
      </c>
      <c r="I2" s="22" t="s">
        <v>54</v>
      </c>
      <c r="J2" s="22" t="s">
        <v>55</v>
      </c>
      <c r="K2" s="22" t="s">
        <v>57</v>
      </c>
      <c r="L2" s="22" t="s">
        <v>60</v>
      </c>
      <c r="M2" s="22" t="s">
        <v>58</v>
      </c>
      <c r="N2" s="22" t="s">
        <v>61</v>
      </c>
      <c r="O2" s="22" t="s">
        <v>59</v>
      </c>
      <c r="P2" s="22" t="s">
        <v>62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x14ac:dyDescent="0.3">
      <c r="A4" s="6" t="s">
        <v>12</v>
      </c>
      <c r="B4" s="3">
        <f>1920-StructureSize!D11</f>
        <v>1880</v>
      </c>
      <c r="C4" s="3">
        <f>640-StructureSize!E11</f>
        <v>520</v>
      </c>
      <c r="D4" s="23">
        <v>2225</v>
      </c>
      <c r="E4" s="23">
        <v>305</v>
      </c>
      <c r="F4" s="20">
        <v>0</v>
      </c>
      <c r="G4" s="20">
        <v>0</v>
      </c>
      <c r="H4" s="20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  <c r="R4" s="23">
        <v>0</v>
      </c>
    </row>
    <row r="5" spans="1:18" x14ac:dyDescent="0.3">
      <c r="A5" s="17" t="s">
        <v>44</v>
      </c>
      <c r="B5" s="3">
        <v>3760</v>
      </c>
      <c r="C5" s="3">
        <v>1040</v>
      </c>
      <c r="D5" s="23">
        <v>0</v>
      </c>
      <c r="E5" s="23">
        <v>0</v>
      </c>
      <c r="F5" s="20">
        <v>1</v>
      </c>
      <c r="G5" s="20">
        <v>0</v>
      </c>
      <c r="H5" s="20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3">
        <v>0</v>
      </c>
      <c r="Q5" s="23">
        <v>0</v>
      </c>
      <c r="R5" s="23">
        <v>0</v>
      </c>
    </row>
    <row r="6" spans="1:18" x14ac:dyDescent="0.3">
      <c r="A6" s="10" t="s">
        <v>19</v>
      </c>
      <c r="B6" s="3">
        <v>3493</v>
      </c>
      <c r="C6" s="3">
        <f>958-299</f>
        <v>659</v>
      </c>
      <c r="D6" s="23">
        <v>0</v>
      </c>
      <c r="E6" s="23">
        <v>0</v>
      </c>
      <c r="F6" s="20">
        <v>0</v>
      </c>
      <c r="G6" s="20">
        <v>1</v>
      </c>
      <c r="H6" s="20">
        <v>1</v>
      </c>
      <c r="I6" s="23">
        <v>3491</v>
      </c>
      <c r="J6" s="23">
        <v>360</v>
      </c>
      <c r="K6" s="23">
        <v>3493</v>
      </c>
      <c r="L6" s="23">
        <v>958</v>
      </c>
      <c r="M6" s="23">
        <v>3939</v>
      </c>
      <c r="N6" s="23">
        <v>1062</v>
      </c>
      <c r="O6" s="23">
        <v>3605.5</v>
      </c>
      <c r="P6" s="23">
        <v>898</v>
      </c>
      <c r="Q6" s="23">
        <v>0</v>
      </c>
      <c r="R6" s="23">
        <v>0</v>
      </c>
    </row>
    <row r="7" spans="1:18" x14ac:dyDescent="0.3">
      <c r="A7" s="10" t="s">
        <v>19</v>
      </c>
      <c r="B7" s="3">
        <f>I7+(K7-I7)/2</f>
        <v>4999.5</v>
      </c>
      <c r="C7" s="3">
        <f>J7+(L7-J7)/2</f>
        <v>578.5</v>
      </c>
      <c r="D7" s="23">
        <v>0</v>
      </c>
      <c r="E7" s="23">
        <v>0</v>
      </c>
      <c r="F7" s="20">
        <v>0</v>
      </c>
      <c r="G7" s="20">
        <v>0</v>
      </c>
      <c r="H7" s="20">
        <v>0</v>
      </c>
      <c r="I7" s="23">
        <v>4481</v>
      </c>
      <c r="J7" s="23">
        <v>434</v>
      </c>
      <c r="K7" s="23">
        <v>5518</v>
      </c>
      <c r="L7" s="23">
        <v>723</v>
      </c>
      <c r="M7" s="23">
        <v>0</v>
      </c>
      <c r="N7" s="23">
        <v>0</v>
      </c>
      <c r="O7" s="23">
        <v>0</v>
      </c>
      <c r="P7" s="23">
        <v>0</v>
      </c>
      <c r="Q7" s="23">
        <v>0</v>
      </c>
      <c r="R7" s="23">
        <v>0</v>
      </c>
    </row>
    <row r="8" spans="1:18" x14ac:dyDescent="0.3">
      <c r="A8" s="7" t="s">
        <v>21</v>
      </c>
      <c r="B8" s="3">
        <f>3788+K4</f>
        <v>3788</v>
      </c>
      <c r="C8" s="3">
        <f>600-L4</f>
        <v>600</v>
      </c>
      <c r="D8" s="23">
        <v>0</v>
      </c>
      <c r="E8" s="23">
        <v>0</v>
      </c>
      <c r="F8" s="20">
        <v>0</v>
      </c>
      <c r="G8" s="20">
        <v>0</v>
      </c>
      <c r="H8" s="20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  <c r="R8" s="23">
        <v>0</v>
      </c>
    </row>
    <row r="9" spans="1:18" x14ac:dyDescent="0.3">
      <c r="F9" s="21"/>
      <c r="G9" s="21"/>
      <c r="H9" s="21"/>
      <c r="I9" s="24"/>
      <c r="J9" s="24"/>
      <c r="Q9"/>
      <c r="R9"/>
    </row>
    <row r="10" spans="1:18" x14ac:dyDescent="0.3">
      <c r="F10" s="21"/>
      <c r="G10" s="21"/>
      <c r="H10" s="21"/>
      <c r="I10" s="24"/>
      <c r="J10" s="24"/>
      <c r="Q10"/>
      <c r="R10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32DC-784C-49D8-BCC6-5288293E6547}">
  <sheetPr codeName="Sheet3"/>
  <dimension ref="A1:R16"/>
  <sheetViews>
    <sheetView zoomScale="85" zoomScaleNormal="85" workbookViewId="0">
      <selection activeCell="A9" activeCellId="1" sqref="A11:XFD11 A9:XFD9"/>
    </sheetView>
  </sheetViews>
  <sheetFormatPr defaultRowHeight="16.5" x14ac:dyDescent="0.3"/>
  <cols>
    <col min="1" max="1" width="26.375" bestFit="1" customWidth="1"/>
    <col min="2" max="2" width="11.5" bestFit="1" customWidth="1"/>
    <col min="3" max="3" width="11.375" bestFit="1" customWidth="1"/>
    <col min="4" max="4" width="11.5" bestFit="1" customWidth="1"/>
    <col min="5" max="5" width="11.375" bestFit="1" customWidth="1"/>
    <col min="6" max="6" width="8.875" bestFit="1" customWidth="1"/>
    <col min="7" max="7" width="11.625" bestFit="1" customWidth="1"/>
    <col min="8" max="8" width="18.625" style="29" bestFit="1" customWidth="1"/>
    <col min="9" max="9" width="18.5" bestFit="1" customWidth="1"/>
    <col min="10" max="10" width="18.375" bestFit="1" customWidth="1"/>
    <col min="11" max="11" width="16.375" bestFit="1" customWidth="1"/>
    <col min="12" max="12" width="16.25" bestFit="1" customWidth="1"/>
    <col min="13" max="13" width="18.5" bestFit="1" customWidth="1"/>
    <col min="14" max="14" width="18.375" bestFit="1" customWidth="1"/>
    <col min="15" max="15" width="24.75" bestFit="1" customWidth="1"/>
    <col min="16" max="16" width="24.5" bestFit="1" customWidth="1"/>
    <col min="17" max="17" width="21.875" bestFit="1" customWidth="1"/>
    <col min="18" max="18" width="25.25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45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47</v>
      </c>
      <c r="N1" s="22" t="s">
        <v>48</v>
      </c>
      <c r="O1" s="22" t="s">
        <v>49</v>
      </c>
      <c r="P1" s="22" t="s">
        <v>50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51</v>
      </c>
      <c r="C2" s="22" t="s">
        <v>52</v>
      </c>
      <c r="D2" s="22" t="s">
        <v>53</v>
      </c>
      <c r="E2" s="22" t="s">
        <v>56</v>
      </c>
      <c r="F2" s="19" t="s">
        <v>40</v>
      </c>
      <c r="G2" s="19" t="s">
        <v>41</v>
      </c>
      <c r="H2" s="19" t="s">
        <v>46</v>
      </c>
      <c r="I2" s="22" t="s">
        <v>54</v>
      </c>
      <c r="J2" s="22" t="s">
        <v>55</v>
      </c>
      <c r="K2" s="22" t="s">
        <v>57</v>
      </c>
      <c r="L2" s="22" t="s">
        <v>60</v>
      </c>
      <c r="M2" s="22" t="s">
        <v>58</v>
      </c>
      <c r="N2" s="22" t="s">
        <v>61</v>
      </c>
      <c r="O2" s="22" t="s">
        <v>59</v>
      </c>
      <c r="P2" s="22" t="s">
        <v>62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x14ac:dyDescent="0.3">
      <c r="A4" s="6" t="s">
        <v>12</v>
      </c>
      <c r="B4" s="3">
        <f>2800-40</f>
        <v>2760</v>
      </c>
      <c r="C4" s="3">
        <f>680-120</f>
        <v>560</v>
      </c>
      <c r="D4" s="23">
        <v>2465</v>
      </c>
      <c r="E4" s="23">
        <v>665</v>
      </c>
      <c r="F4" s="20">
        <v>0</v>
      </c>
      <c r="G4" s="20">
        <v>0</v>
      </c>
      <c r="H4" s="20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  <c r="R4" s="23">
        <v>0</v>
      </c>
    </row>
    <row r="5" spans="1:18" x14ac:dyDescent="0.3">
      <c r="A5" s="15" t="s">
        <v>13</v>
      </c>
      <c r="B5" s="3">
        <v>220</v>
      </c>
      <c r="C5" s="3">
        <v>204</v>
      </c>
      <c r="D5" s="23">
        <v>0</v>
      </c>
      <c r="E5" s="23">
        <v>0</v>
      </c>
      <c r="F5" s="20">
        <v>0</v>
      </c>
      <c r="G5" s="20">
        <v>0</v>
      </c>
      <c r="H5" s="20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3">
        <v>0</v>
      </c>
      <c r="Q5" s="23">
        <v>2</v>
      </c>
      <c r="R5" s="23">
        <v>0.3</v>
      </c>
    </row>
    <row r="6" spans="1:18" x14ac:dyDescent="0.3">
      <c r="A6" s="15" t="s">
        <v>13</v>
      </c>
      <c r="B6" s="3">
        <v>820</v>
      </c>
      <c r="C6" s="3">
        <v>323</v>
      </c>
      <c r="D6" s="23">
        <v>0</v>
      </c>
      <c r="E6" s="23">
        <v>0</v>
      </c>
      <c r="F6" s="20">
        <v>0</v>
      </c>
      <c r="G6" s="20">
        <v>0</v>
      </c>
      <c r="H6" s="20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3">
        <v>2</v>
      </c>
      <c r="R6" s="23">
        <v>0.3</v>
      </c>
    </row>
    <row r="7" spans="1:18" x14ac:dyDescent="0.3">
      <c r="A7" s="15" t="s">
        <v>13</v>
      </c>
      <c r="B7" s="3">
        <v>1300</v>
      </c>
      <c r="C7" s="3">
        <v>403</v>
      </c>
      <c r="D7" s="23">
        <v>0</v>
      </c>
      <c r="E7" s="23">
        <v>0</v>
      </c>
      <c r="F7" s="20">
        <v>0</v>
      </c>
      <c r="G7" s="20">
        <v>0</v>
      </c>
      <c r="H7" s="20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3">
        <v>0</v>
      </c>
      <c r="Q7" s="23">
        <v>2</v>
      </c>
      <c r="R7" s="23">
        <v>0.3</v>
      </c>
    </row>
    <row r="8" spans="1:18" x14ac:dyDescent="0.3">
      <c r="A8" s="15" t="s">
        <v>13</v>
      </c>
      <c r="B8" s="3">
        <v>1780</v>
      </c>
      <c r="C8" s="3">
        <v>483</v>
      </c>
      <c r="D8" s="23">
        <v>0</v>
      </c>
      <c r="E8" s="23">
        <v>0</v>
      </c>
      <c r="F8" s="20">
        <v>0</v>
      </c>
      <c r="G8" s="20">
        <v>0</v>
      </c>
      <c r="H8" s="20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2</v>
      </c>
      <c r="R8" s="23">
        <v>0.3</v>
      </c>
    </row>
    <row r="9" spans="1:18" x14ac:dyDescent="0.3">
      <c r="A9" s="12" t="s">
        <v>11</v>
      </c>
      <c r="B9" s="3">
        <v>3920</v>
      </c>
      <c r="C9" s="3">
        <v>960</v>
      </c>
      <c r="D9" s="23">
        <v>0</v>
      </c>
      <c r="E9" s="23">
        <v>0</v>
      </c>
      <c r="F9" s="20">
        <v>0</v>
      </c>
      <c r="G9" s="20">
        <v>0</v>
      </c>
      <c r="H9" s="20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  <c r="R9" s="23">
        <v>0</v>
      </c>
    </row>
    <row r="10" spans="1:18" x14ac:dyDescent="0.3">
      <c r="A10" s="18" t="s">
        <v>44</v>
      </c>
      <c r="B10" s="3">
        <v>5560</v>
      </c>
      <c r="C10" s="3">
        <v>1500</v>
      </c>
      <c r="D10" s="23">
        <v>0</v>
      </c>
      <c r="E10" s="23">
        <v>0</v>
      </c>
      <c r="F10" s="20">
        <v>2</v>
      </c>
      <c r="G10" s="20">
        <v>0</v>
      </c>
      <c r="H10" s="20">
        <v>0</v>
      </c>
      <c r="I10" s="23">
        <v>0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3">
        <v>0</v>
      </c>
      <c r="P10" s="23">
        <v>0</v>
      </c>
      <c r="Q10" s="23">
        <v>0</v>
      </c>
      <c r="R10" s="23">
        <v>0</v>
      </c>
    </row>
    <row r="11" spans="1:18" x14ac:dyDescent="0.3">
      <c r="A11" s="10" t="s">
        <v>19</v>
      </c>
      <c r="B11" s="3">
        <f>I11+(K11-I11)/2</f>
        <v>1396</v>
      </c>
      <c r="C11" s="3">
        <f>J11+(L11-J11)/2</f>
        <v>339</v>
      </c>
      <c r="D11" s="23">
        <v>0</v>
      </c>
      <c r="E11" s="23">
        <v>0</v>
      </c>
      <c r="F11" s="20">
        <v>0</v>
      </c>
      <c r="G11" s="20">
        <v>0</v>
      </c>
      <c r="H11" s="20">
        <v>0</v>
      </c>
      <c r="I11" s="23">
        <v>432</v>
      </c>
      <c r="J11" s="23">
        <v>155</v>
      </c>
      <c r="K11" s="23">
        <v>2360</v>
      </c>
      <c r="L11" s="23">
        <v>523</v>
      </c>
      <c r="M11" s="23">
        <v>0</v>
      </c>
      <c r="N11" s="23">
        <v>0</v>
      </c>
      <c r="O11" s="23">
        <v>0</v>
      </c>
      <c r="P11" s="23">
        <v>0</v>
      </c>
      <c r="Q11" s="23">
        <v>0</v>
      </c>
      <c r="R11" s="23">
        <v>0</v>
      </c>
    </row>
    <row r="12" spans="1:18" x14ac:dyDescent="0.3">
      <c r="A12" s="10" t="s">
        <v>19</v>
      </c>
      <c r="B12" s="3">
        <f>I12+(K12-I12)/2</f>
        <v>4480</v>
      </c>
      <c r="C12" s="3">
        <f>J12+(L12-J12)/2</f>
        <v>1019</v>
      </c>
      <c r="D12" s="23">
        <v>0</v>
      </c>
      <c r="E12" s="23">
        <v>0</v>
      </c>
      <c r="F12" s="20">
        <v>0</v>
      </c>
      <c r="G12" s="20">
        <v>1</v>
      </c>
      <c r="H12" s="20">
        <v>0</v>
      </c>
      <c r="I12" s="23">
        <v>3803</v>
      </c>
      <c r="J12" s="23">
        <v>915</v>
      </c>
      <c r="K12" s="23">
        <v>5157</v>
      </c>
      <c r="L12" s="23">
        <v>1123</v>
      </c>
      <c r="M12" s="23">
        <v>5778</v>
      </c>
      <c r="N12" s="23">
        <v>1592</v>
      </c>
      <c r="O12" s="23">
        <v>3764.5</v>
      </c>
      <c r="P12" s="23">
        <v>899</v>
      </c>
      <c r="Q12" s="23">
        <v>0</v>
      </c>
      <c r="R12" s="23">
        <v>0</v>
      </c>
    </row>
    <row r="13" spans="1:18" x14ac:dyDescent="0.3">
      <c r="A13" s="7" t="s">
        <v>21</v>
      </c>
      <c r="B13" s="3">
        <v>3477</v>
      </c>
      <c r="C13" s="3">
        <v>1057</v>
      </c>
      <c r="D13" s="23">
        <v>0</v>
      </c>
      <c r="E13" s="23">
        <v>0</v>
      </c>
      <c r="F13" s="20">
        <v>0</v>
      </c>
      <c r="G13" s="20">
        <v>0</v>
      </c>
      <c r="H13" s="20">
        <v>0</v>
      </c>
      <c r="I13" s="23">
        <v>0</v>
      </c>
      <c r="J13" s="23">
        <v>0</v>
      </c>
      <c r="K13" s="23">
        <v>0</v>
      </c>
      <c r="L13" s="23">
        <v>0</v>
      </c>
      <c r="M13" s="23">
        <v>0</v>
      </c>
      <c r="N13" s="23">
        <v>0</v>
      </c>
      <c r="O13" s="23">
        <v>0</v>
      </c>
      <c r="P13" s="23">
        <v>0</v>
      </c>
      <c r="Q13" s="23">
        <v>0</v>
      </c>
      <c r="R13" s="23">
        <v>0</v>
      </c>
    </row>
    <row r="14" spans="1:18" x14ac:dyDescent="0.3">
      <c r="A14" s="7" t="s">
        <v>21</v>
      </c>
      <c r="B14" s="3">
        <v>8128</v>
      </c>
      <c r="C14" s="3">
        <v>1257</v>
      </c>
      <c r="D14" s="23">
        <v>0</v>
      </c>
      <c r="E14" s="23">
        <v>0</v>
      </c>
      <c r="F14" s="20">
        <v>0</v>
      </c>
      <c r="G14" s="20">
        <v>0</v>
      </c>
      <c r="H14" s="20">
        <v>0</v>
      </c>
      <c r="I14" s="23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  <c r="O14" s="23">
        <v>0</v>
      </c>
      <c r="P14" s="23">
        <v>0</v>
      </c>
      <c r="Q14" s="23">
        <v>0</v>
      </c>
      <c r="R14" s="23">
        <v>0</v>
      </c>
    </row>
    <row r="16" spans="1:18" x14ac:dyDescent="0.3">
      <c r="B16" s="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B01AC-A66C-4863-8EEB-C42FBA2D8F8F}">
  <sheetPr codeName="Sheet4"/>
  <dimension ref="A1:R11"/>
  <sheetViews>
    <sheetView zoomScale="90" zoomScaleNormal="90" workbookViewId="0">
      <selection activeCell="G19" sqref="G19"/>
    </sheetView>
  </sheetViews>
  <sheetFormatPr defaultRowHeight="16.5" x14ac:dyDescent="0.3"/>
  <cols>
    <col min="1" max="1" width="26.5" bestFit="1" customWidth="1"/>
    <col min="2" max="2" width="11.5" bestFit="1" customWidth="1"/>
    <col min="3" max="3" width="11.375" bestFit="1" customWidth="1"/>
    <col min="4" max="4" width="11.5" bestFit="1" customWidth="1"/>
    <col min="5" max="5" width="11.375" bestFit="1" customWidth="1"/>
    <col min="6" max="6" width="8.875" bestFit="1" customWidth="1"/>
    <col min="7" max="7" width="11.625" bestFit="1" customWidth="1"/>
    <col min="8" max="8" width="18.625" bestFit="1" customWidth="1"/>
    <col min="9" max="9" width="18.5" style="24" bestFit="1" customWidth="1"/>
    <col min="10" max="10" width="18.375" bestFit="1" customWidth="1"/>
    <col min="11" max="11" width="16.375" bestFit="1" customWidth="1"/>
    <col min="12" max="12" width="16.25" bestFit="1" customWidth="1"/>
    <col min="13" max="13" width="18.5" bestFit="1" customWidth="1"/>
    <col min="14" max="14" width="18.375" bestFit="1" customWidth="1"/>
    <col min="15" max="15" width="24.75" bestFit="1" customWidth="1"/>
    <col min="16" max="16" width="24.5" bestFit="1" customWidth="1"/>
    <col min="17" max="17" width="21.875" bestFit="1" customWidth="1"/>
    <col min="18" max="18" width="25.25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45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47</v>
      </c>
      <c r="N1" s="22" t="s">
        <v>48</v>
      </c>
      <c r="O1" s="22" t="s">
        <v>49</v>
      </c>
      <c r="P1" s="22" t="s">
        <v>50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51</v>
      </c>
      <c r="C2" s="22" t="s">
        <v>52</v>
      </c>
      <c r="D2" s="22" t="s">
        <v>53</v>
      </c>
      <c r="E2" s="22" t="s">
        <v>56</v>
      </c>
      <c r="F2" s="19" t="s">
        <v>40</v>
      </c>
      <c r="G2" s="19" t="s">
        <v>41</v>
      </c>
      <c r="H2" s="19" t="s">
        <v>46</v>
      </c>
      <c r="I2" s="22" t="s">
        <v>54</v>
      </c>
      <c r="J2" s="22" t="s">
        <v>55</v>
      </c>
      <c r="K2" s="22" t="s">
        <v>57</v>
      </c>
      <c r="L2" s="22" t="s">
        <v>60</v>
      </c>
      <c r="M2" s="22" t="s">
        <v>58</v>
      </c>
      <c r="N2" s="22" t="s">
        <v>61</v>
      </c>
      <c r="O2" s="22" t="s">
        <v>59</v>
      </c>
      <c r="P2" s="22" t="s">
        <v>62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x14ac:dyDescent="0.3">
      <c r="A4" s="6" t="s">
        <v>12</v>
      </c>
      <c r="B4" s="3">
        <v>1960</v>
      </c>
      <c r="C4" s="3">
        <v>520</v>
      </c>
      <c r="D4" s="23">
        <v>1075</v>
      </c>
      <c r="E4" s="23">
        <v>305</v>
      </c>
      <c r="F4" s="20">
        <v>0</v>
      </c>
      <c r="G4" s="20">
        <v>0</v>
      </c>
      <c r="H4" s="20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  <c r="R4" s="23">
        <v>0</v>
      </c>
    </row>
    <row r="5" spans="1:18" x14ac:dyDescent="0.3">
      <c r="A5" s="10" t="s">
        <v>17</v>
      </c>
      <c r="B5" s="3">
        <v>1308</v>
      </c>
      <c r="C5" s="3">
        <v>1232</v>
      </c>
      <c r="D5" s="23">
        <v>0</v>
      </c>
      <c r="E5" s="23">
        <v>0</v>
      </c>
      <c r="F5" s="20">
        <v>0</v>
      </c>
      <c r="G5" s="20">
        <v>1</v>
      </c>
      <c r="H5" s="20">
        <v>0</v>
      </c>
      <c r="I5" s="23">
        <v>2599</v>
      </c>
      <c r="J5" s="23">
        <v>1411</v>
      </c>
      <c r="K5" s="23">
        <v>1739</v>
      </c>
      <c r="L5" s="23">
        <v>1487</v>
      </c>
      <c r="M5" s="23">
        <v>0</v>
      </c>
      <c r="N5" s="23">
        <v>0</v>
      </c>
      <c r="O5" s="23">
        <v>2565</v>
      </c>
      <c r="P5" s="23">
        <v>1099</v>
      </c>
      <c r="Q5" s="23">
        <v>0</v>
      </c>
      <c r="R5" s="23">
        <v>0</v>
      </c>
    </row>
    <row r="6" spans="1:18" x14ac:dyDescent="0.3">
      <c r="A6" s="7" t="s">
        <v>21</v>
      </c>
      <c r="B6" s="3">
        <v>2060</v>
      </c>
      <c r="C6" s="3">
        <v>297</v>
      </c>
      <c r="D6" s="23">
        <v>0</v>
      </c>
      <c r="E6" s="23">
        <v>0</v>
      </c>
      <c r="F6" s="20">
        <v>0</v>
      </c>
      <c r="G6" s="20">
        <v>0</v>
      </c>
      <c r="H6" s="20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3">
        <v>0</v>
      </c>
      <c r="R6" s="23">
        <v>0</v>
      </c>
    </row>
    <row r="7" spans="1:18" x14ac:dyDescent="0.3">
      <c r="A7" s="7" t="s">
        <v>21</v>
      </c>
      <c r="B7" s="3">
        <v>500</v>
      </c>
      <c r="C7" s="3">
        <v>617</v>
      </c>
      <c r="D7" s="23">
        <v>0</v>
      </c>
      <c r="E7" s="23">
        <v>0</v>
      </c>
      <c r="F7" s="20">
        <v>0</v>
      </c>
      <c r="G7" s="20">
        <v>0</v>
      </c>
      <c r="H7" s="20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3">
        <v>0</v>
      </c>
      <c r="Q7" s="23">
        <v>0</v>
      </c>
      <c r="R7" s="23">
        <v>0</v>
      </c>
    </row>
    <row r="8" spans="1:18" x14ac:dyDescent="0.3">
      <c r="A8" s="7" t="s">
        <v>21</v>
      </c>
      <c r="B8" s="3">
        <v>2902</v>
      </c>
      <c r="C8" s="3">
        <v>1255</v>
      </c>
      <c r="D8" s="23">
        <v>0</v>
      </c>
      <c r="E8" s="23">
        <v>0</v>
      </c>
      <c r="F8" s="20">
        <v>0</v>
      </c>
      <c r="G8" s="20">
        <v>0</v>
      </c>
      <c r="H8" s="20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  <c r="R8" s="23">
        <v>0</v>
      </c>
    </row>
    <row r="11" spans="1:18" x14ac:dyDescent="0.3">
      <c r="B11" s="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24E3E-B3F6-464B-880C-BCCC704821A5}">
  <sheetPr codeName="Sheet5"/>
  <dimension ref="A1:R6"/>
  <sheetViews>
    <sheetView workbookViewId="0">
      <selection activeCell="I33" sqref="I33"/>
    </sheetView>
  </sheetViews>
  <sheetFormatPr defaultRowHeight="16.5" x14ac:dyDescent="0.3"/>
  <cols>
    <col min="1" max="1" width="7.125" bestFit="1" customWidth="1"/>
    <col min="2" max="2" width="11.5" bestFit="1" customWidth="1"/>
    <col min="3" max="3" width="11.375" bestFit="1" customWidth="1"/>
    <col min="4" max="4" width="11.5" bestFit="1" customWidth="1"/>
    <col min="5" max="5" width="11.375" bestFit="1" customWidth="1"/>
    <col min="6" max="6" width="8.875" bestFit="1" customWidth="1"/>
    <col min="7" max="7" width="11.625" bestFit="1" customWidth="1"/>
    <col min="8" max="8" width="18.625" bestFit="1" customWidth="1"/>
    <col min="9" max="9" width="18.5" bestFit="1" customWidth="1"/>
    <col min="10" max="10" width="18.375" bestFit="1" customWidth="1"/>
    <col min="11" max="11" width="16.375" bestFit="1" customWidth="1"/>
    <col min="12" max="12" width="16.25" bestFit="1" customWidth="1"/>
    <col min="13" max="13" width="18.5" bestFit="1" customWidth="1"/>
    <col min="14" max="14" width="18.375" bestFit="1" customWidth="1"/>
    <col min="15" max="15" width="24.75" bestFit="1" customWidth="1"/>
    <col min="16" max="16" width="24.5" bestFit="1" customWidth="1"/>
    <col min="17" max="17" width="21.875" bestFit="1" customWidth="1"/>
    <col min="18" max="18" width="25.25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45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47</v>
      </c>
      <c r="N1" s="22" t="s">
        <v>48</v>
      </c>
      <c r="O1" s="22" t="s">
        <v>49</v>
      </c>
      <c r="P1" s="22" t="s">
        <v>50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51</v>
      </c>
      <c r="C2" s="22" t="s">
        <v>52</v>
      </c>
      <c r="D2" s="22" t="s">
        <v>53</v>
      </c>
      <c r="E2" s="22" t="s">
        <v>56</v>
      </c>
      <c r="F2" s="19" t="s">
        <v>40</v>
      </c>
      <c r="G2" s="19" t="s">
        <v>41</v>
      </c>
      <c r="H2" s="19" t="s">
        <v>46</v>
      </c>
      <c r="I2" s="22" t="s">
        <v>54</v>
      </c>
      <c r="J2" s="22" t="s">
        <v>55</v>
      </c>
      <c r="K2" s="22" t="s">
        <v>57</v>
      </c>
      <c r="L2" s="22" t="s">
        <v>60</v>
      </c>
      <c r="M2" s="22" t="s">
        <v>58</v>
      </c>
      <c r="N2" s="22" t="s">
        <v>61</v>
      </c>
      <c r="O2" s="22" t="s">
        <v>59</v>
      </c>
      <c r="P2" s="22" t="s">
        <v>62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x14ac:dyDescent="0.3">
      <c r="A4" s="8" t="s">
        <v>20</v>
      </c>
      <c r="B4" s="3">
        <v>25.5</v>
      </c>
      <c r="C4" s="3">
        <v>521.5</v>
      </c>
      <c r="D4" s="23">
        <v>0</v>
      </c>
      <c r="E4" s="23">
        <v>0</v>
      </c>
      <c r="F4" s="20">
        <v>0</v>
      </c>
      <c r="G4" s="20">
        <v>0</v>
      </c>
      <c r="H4" s="20">
        <v>0</v>
      </c>
      <c r="I4" s="23">
        <v>0</v>
      </c>
      <c r="J4" s="23">
        <v>0</v>
      </c>
      <c r="K4" s="23">
        <v>0</v>
      </c>
      <c r="L4" s="23">
        <v>0</v>
      </c>
      <c r="M4" s="23"/>
      <c r="N4" s="23"/>
      <c r="O4" s="23"/>
      <c r="P4" s="23"/>
      <c r="Q4" s="23">
        <v>0</v>
      </c>
      <c r="R4" s="23">
        <v>0</v>
      </c>
    </row>
    <row r="5" spans="1:18" x14ac:dyDescent="0.3">
      <c r="A5" s="8" t="s">
        <v>20</v>
      </c>
      <c r="B5" s="3">
        <v>639.5</v>
      </c>
      <c r="C5" s="3">
        <v>521.5</v>
      </c>
      <c r="D5" s="23">
        <v>0</v>
      </c>
      <c r="E5" s="23">
        <v>0</v>
      </c>
      <c r="F5" s="20">
        <v>0</v>
      </c>
      <c r="G5" s="20">
        <v>0</v>
      </c>
      <c r="H5" s="20">
        <v>0</v>
      </c>
      <c r="I5" s="23">
        <v>0</v>
      </c>
      <c r="J5" s="23">
        <v>0</v>
      </c>
      <c r="K5" s="23">
        <v>0</v>
      </c>
      <c r="L5" s="23">
        <v>0</v>
      </c>
      <c r="M5" s="23"/>
      <c r="N5" s="23"/>
      <c r="O5" s="23"/>
      <c r="P5" s="23"/>
      <c r="Q5" s="23">
        <v>0</v>
      </c>
      <c r="R5" s="23">
        <v>0</v>
      </c>
    </row>
    <row r="6" spans="1:18" x14ac:dyDescent="0.3">
      <c r="A6" s="8" t="s">
        <v>20</v>
      </c>
      <c r="B6" s="3">
        <v>1254.5</v>
      </c>
      <c r="C6" s="3">
        <v>521.5</v>
      </c>
      <c r="D6" s="23">
        <v>0</v>
      </c>
      <c r="E6" s="23">
        <v>0</v>
      </c>
      <c r="F6" s="20">
        <v>0</v>
      </c>
      <c r="G6" s="20">
        <v>0</v>
      </c>
      <c r="H6" s="20">
        <v>0</v>
      </c>
      <c r="I6" s="23">
        <v>0</v>
      </c>
      <c r="J6" s="23">
        <v>0</v>
      </c>
      <c r="K6" s="23">
        <v>0</v>
      </c>
      <c r="L6" s="23">
        <v>0</v>
      </c>
      <c r="M6" s="23"/>
      <c r="N6" s="23"/>
      <c r="O6" s="23"/>
      <c r="P6" s="23"/>
      <c r="Q6" s="23">
        <v>0</v>
      </c>
      <c r="R6" s="23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D909F-B804-4FF9-BC11-FC0E055207ED}">
  <dimension ref="A1:R8"/>
  <sheetViews>
    <sheetView workbookViewId="0">
      <selection activeCell="C9" sqref="C9"/>
    </sheetView>
  </sheetViews>
  <sheetFormatPr defaultRowHeight="16.5" x14ac:dyDescent="0.3"/>
  <cols>
    <col min="1" max="1" width="26.375" bestFit="1" customWidth="1"/>
    <col min="2" max="2" width="11.5" style="24" bestFit="1" customWidth="1"/>
    <col min="3" max="3" width="11.375" style="24" bestFit="1" customWidth="1"/>
    <col min="4" max="4" width="11.5" style="24" bestFit="1" customWidth="1"/>
    <col min="5" max="5" width="11.375" style="24" bestFit="1" customWidth="1"/>
    <col min="6" max="6" width="8.875" bestFit="1" customWidth="1"/>
    <col min="7" max="7" width="11.625" bestFit="1" customWidth="1"/>
    <col min="8" max="8" width="18.625" bestFit="1" customWidth="1"/>
    <col min="9" max="9" width="18.5" style="24" bestFit="1" customWidth="1"/>
    <col min="10" max="10" width="18.375" style="24" bestFit="1" customWidth="1"/>
    <col min="11" max="11" width="16.375" style="24" bestFit="1" customWidth="1"/>
    <col min="12" max="12" width="16.25" style="24" bestFit="1" customWidth="1"/>
    <col min="13" max="13" width="18.5" style="24" bestFit="1" customWidth="1"/>
    <col min="14" max="14" width="18.375" style="24" bestFit="1" customWidth="1"/>
    <col min="15" max="15" width="24.75" bestFit="1" customWidth="1"/>
    <col min="16" max="16" width="24.5" bestFit="1" customWidth="1"/>
    <col min="17" max="17" width="21.875" bestFit="1" customWidth="1"/>
    <col min="18" max="18" width="25.25" bestFit="1" customWidth="1"/>
  </cols>
  <sheetData>
    <row r="1" spans="1:18" x14ac:dyDescent="0.3">
      <c r="A1" s="2" t="s">
        <v>3</v>
      </c>
      <c r="B1" s="22" t="s">
        <v>1</v>
      </c>
      <c r="C1" s="22" t="s">
        <v>2</v>
      </c>
      <c r="D1" s="22" t="s">
        <v>29</v>
      </c>
      <c r="E1" s="22" t="s">
        <v>30</v>
      </c>
      <c r="F1" s="19" t="s">
        <v>33</v>
      </c>
      <c r="G1" s="19" t="s">
        <v>31</v>
      </c>
      <c r="H1" s="19" t="s">
        <v>45</v>
      </c>
      <c r="I1" s="22" t="s">
        <v>34</v>
      </c>
      <c r="J1" s="22" t="s">
        <v>35</v>
      </c>
      <c r="K1" s="22" t="s">
        <v>36</v>
      </c>
      <c r="L1" s="22" t="s">
        <v>37</v>
      </c>
      <c r="M1" s="22" t="s">
        <v>47</v>
      </c>
      <c r="N1" s="22" t="s">
        <v>48</v>
      </c>
      <c r="O1" s="22" t="s">
        <v>49</v>
      </c>
      <c r="P1" s="22" t="s">
        <v>50</v>
      </c>
      <c r="Q1" s="22" t="s">
        <v>38</v>
      </c>
      <c r="R1" s="22" t="s">
        <v>39</v>
      </c>
    </row>
    <row r="2" spans="1:18" x14ac:dyDescent="0.3">
      <c r="A2" s="2" t="s">
        <v>4</v>
      </c>
      <c r="B2" s="22" t="s">
        <v>51</v>
      </c>
      <c r="C2" s="22" t="s">
        <v>52</v>
      </c>
      <c r="D2" s="22" t="s">
        <v>53</v>
      </c>
      <c r="E2" s="22" t="s">
        <v>56</v>
      </c>
      <c r="F2" s="19" t="s">
        <v>40</v>
      </c>
      <c r="G2" s="19" t="s">
        <v>41</v>
      </c>
      <c r="H2" s="19" t="s">
        <v>46</v>
      </c>
      <c r="I2" s="22" t="s">
        <v>54</v>
      </c>
      <c r="J2" s="22" t="s">
        <v>55</v>
      </c>
      <c r="K2" s="22" t="s">
        <v>57</v>
      </c>
      <c r="L2" s="22" t="s">
        <v>60</v>
      </c>
      <c r="M2" s="22" t="s">
        <v>58</v>
      </c>
      <c r="N2" s="22" t="s">
        <v>61</v>
      </c>
      <c r="O2" s="22" t="s">
        <v>59</v>
      </c>
      <c r="P2" s="22" t="s">
        <v>62</v>
      </c>
      <c r="Q2" s="22" t="s">
        <v>42</v>
      </c>
      <c r="R2" s="22" t="s">
        <v>43</v>
      </c>
    </row>
    <row r="3" spans="1:18" x14ac:dyDescent="0.3">
      <c r="A3" s="2" t="s">
        <v>5</v>
      </c>
      <c r="B3" s="22" t="s">
        <v>0</v>
      </c>
      <c r="C3" s="22" t="s">
        <v>0</v>
      </c>
      <c r="D3" s="22" t="s">
        <v>0</v>
      </c>
      <c r="E3" s="22" t="s">
        <v>0</v>
      </c>
      <c r="F3" s="19" t="s">
        <v>32</v>
      </c>
      <c r="G3" s="19" t="s">
        <v>32</v>
      </c>
      <c r="H3" s="19" t="s">
        <v>32</v>
      </c>
      <c r="I3" s="22" t="s">
        <v>0</v>
      </c>
      <c r="J3" s="22" t="s">
        <v>0</v>
      </c>
      <c r="K3" s="22" t="s">
        <v>0</v>
      </c>
      <c r="L3" s="22" t="s">
        <v>0</v>
      </c>
      <c r="M3" s="28" t="s">
        <v>0</v>
      </c>
      <c r="N3" s="28" t="s">
        <v>0</v>
      </c>
      <c r="O3" s="28" t="s">
        <v>0</v>
      </c>
      <c r="P3" s="28" t="s">
        <v>0</v>
      </c>
      <c r="Q3" s="22" t="s">
        <v>0</v>
      </c>
      <c r="R3" s="22" t="s">
        <v>0</v>
      </c>
    </row>
    <row r="4" spans="1:18" s="1" customFormat="1" x14ac:dyDescent="0.3">
      <c r="A4" s="7" t="s">
        <v>21</v>
      </c>
      <c r="B4" s="23">
        <f>924-32</f>
        <v>892</v>
      </c>
      <c r="C4" s="23">
        <f>480-23</f>
        <v>457</v>
      </c>
      <c r="D4" s="23">
        <v>0</v>
      </c>
      <c r="E4" s="23">
        <v>0</v>
      </c>
      <c r="F4" s="25">
        <v>0</v>
      </c>
      <c r="G4" s="25">
        <v>0</v>
      </c>
      <c r="H4" s="25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5">
        <v>0</v>
      </c>
      <c r="R4" s="25">
        <v>0</v>
      </c>
    </row>
    <row r="5" spans="1:18" s="1" customFormat="1" x14ac:dyDescent="0.3">
      <c r="A5" s="7" t="s">
        <v>21</v>
      </c>
      <c r="B5" s="23">
        <f>1088-32</f>
        <v>1056</v>
      </c>
      <c r="C5" s="23">
        <f t="shared" ref="C5:C7" si="0">480-23</f>
        <v>457</v>
      </c>
      <c r="D5" s="23">
        <v>0</v>
      </c>
      <c r="E5" s="23">
        <v>0</v>
      </c>
      <c r="F5" s="25">
        <v>0</v>
      </c>
      <c r="G5" s="25">
        <v>0</v>
      </c>
      <c r="H5" s="25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3">
        <v>0</v>
      </c>
      <c r="Q5" s="25">
        <v>0</v>
      </c>
      <c r="R5" s="25">
        <v>0</v>
      </c>
    </row>
    <row r="6" spans="1:18" s="1" customFormat="1" x14ac:dyDescent="0.3">
      <c r="A6" s="7" t="s">
        <v>21</v>
      </c>
      <c r="B6" s="23">
        <f>1272-32</f>
        <v>1240</v>
      </c>
      <c r="C6" s="23">
        <f t="shared" si="0"/>
        <v>457</v>
      </c>
      <c r="D6" s="23">
        <v>0</v>
      </c>
      <c r="E6" s="23">
        <v>0</v>
      </c>
      <c r="F6" s="25">
        <v>0</v>
      </c>
      <c r="G6" s="25">
        <v>0</v>
      </c>
      <c r="H6" s="25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3">
        <v>0</v>
      </c>
      <c r="Q6" s="25">
        <v>0</v>
      </c>
      <c r="R6" s="25">
        <v>0</v>
      </c>
    </row>
    <row r="7" spans="1:18" s="1" customFormat="1" x14ac:dyDescent="0.3">
      <c r="A7" s="7" t="s">
        <v>21</v>
      </c>
      <c r="B7" s="23">
        <f>1456-32</f>
        <v>1424</v>
      </c>
      <c r="C7" s="23">
        <f t="shared" si="0"/>
        <v>457</v>
      </c>
      <c r="D7" s="23">
        <v>0</v>
      </c>
      <c r="E7" s="23">
        <v>0</v>
      </c>
      <c r="F7" s="25">
        <v>0</v>
      </c>
      <c r="G7" s="25">
        <v>0</v>
      </c>
      <c r="H7" s="25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3">
        <v>0</v>
      </c>
      <c r="Q7" s="25">
        <v>0</v>
      </c>
      <c r="R7" s="25">
        <v>0</v>
      </c>
    </row>
    <row r="8" spans="1:18" s="1" customFormat="1" x14ac:dyDescent="0.3">
      <c r="A8" s="7" t="s">
        <v>21</v>
      </c>
      <c r="B8" s="23">
        <f>1620-32</f>
        <v>1588</v>
      </c>
      <c r="C8" s="23">
        <f>480-23</f>
        <v>457</v>
      </c>
      <c r="D8" s="23">
        <v>0</v>
      </c>
      <c r="E8" s="23">
        <v>0</v>
      </c>
      <c r="F8" s="25">
        <v>0</v>
      </c>
      <c r="G8" s="25">
        <v>0</v>
      </c>
      <c r="H8" s="25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3">
        <v>0</v>
      </c>
      <c r="Q8" s="25">
        <v>0</v>
      </c>
      <c r="R8" s="25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StructureSize</vt:lpstr>
      <vt:lpstr>Stage1StructurePosList</vt:lpstr>
      <vt:lpstr>Stage2StructurePosList</vt:lpstr>
      <vt:lpstr>Stage3StructurePosList</vt:lpstr>
      <vt:lpstr>Stage4StructurePosList</vt:lpstr>
      <vt:lpstr>learnSkill_StructurePosList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이하나 윤</dc:creator>
  <cp:lastModifiedBy>이하나 윤</cp:lastModifiedBy>
  <dcterms:created xsi:type="dcterms:W3CDTF">2024-11-10T11:42:32Z</dcterms:created>
  <dcterms:modified xsi:type="dcterms:W3CDTF">2025-06-17T10:20:43Z</dcterms:modified>
</cp:coreProperties>
</file>